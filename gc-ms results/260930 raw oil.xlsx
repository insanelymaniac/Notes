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GitHub\Notes\gc-ms results\"/>
    </mc:Choice>
  </mc:AlternateContent>
  <xr:revisionPtr revIDLastSave="0" documentId="13_ncr:1_{E3BFC335-ADF9-4868-B7AF-509B182ACF21}" xr6:coauthVersionLast="47" xr6:coauthVersionMax="47" xr10:uidLastSave="{00000000-0000-0000-0000-000000000000}"/>
  <bookViews>
    <workbookView xWindow="-108" yWindow="-108" windowWidth="23256" windowHeight="12456" xr2:uid="{9DDEE15F-E737-4B6C-AA01-47268D57280C}"/>
  </bookViews>
  <sheets>
    <sheet name="260930 raw o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1" l="1"/>
  <c r="N22" i="1"/>
  <c r="L43" i="1"/>
  <c r="M43" i="1"/>
  <c r="K43" i="1"/>
  <c r="L22" i="1"/>
  <c r="K22" i="1"/>
  <c r="M22" i="1"/>
  <c r="J22" i="1"/>
  <c r="J43" i="1"/>
  <c r="I22" i="1"/>
</calcChain>
</file>

<file path=xl/sharedStrings.xml><?xml version="1.0" encoding="utf-8"?>
<sst xmlns="http://schemas.openxmlformats.org/spreadsheetml/2006/main" count="402" uniqueCount="311">
  <si>
    <t>Component RT</t>
  </si>
  <si>
    <t>Compound Name</t>
  </si>
  <si>
    <t>Match Factor</t>
  </si>
  <si>
    <t>Best Hit</t>
  </si>
  <si>
    <t>Formula</t>
  </si>
  <si>
    <t>Area %</t>
  </si>
  <si>
    <t>Area % Max.</t>
  </si>
  <si>
    <t>Base Peak Area</t>
  </si>
  <si>
    <t>Phenol</t>
  </si>
  <si>
    <t>C6H6O</t>
  </si>
  <si>
    <t>Catechol</t>
  </si>
  <si>
    <t>C6H6O2</t>
  </si>
  <si>
    <t>Methylparaben</t>
  </si>
  <si>
    <t>C8H8O3</t>
  </si>
  <si>
    <t>p-Cresol</t>
  </si>
  <si>
    <t>C7H8O</t>
  </si>
  <si>
    <t>Phenol, 2,6-dimethoxy-</t>
  </si>
  <si>
    <t>C8H10O3</t>
  </si>
  <si>
    <t>Phenol, 2-methyl-</t>
  </si>
  <si>
    <t>Phenol, 4-ethyl-2-methoxy-</t>
  </si>
  <si>
    <t>C9H12O2</t>
  </si>
  <si>
    <t>Ethyl p-hydroxybenzoate</t>
  </si>
  <si>
    <t>C8H10O2</t>
  </si>
  <si>
    <t>Benzene, 1-ethyl-4-methoxy-</t>
  </si>
  <si>
    <t>C9H12O</t>
  </si>
  <si>
    <t>Phenol, 2-methoxy-</t>
  </si>
  <si>
    <t>C7H8O2</t>
  </si>
  <si>
    <t>1,2-Benzenediol, 4-methyl-</t>
  </si>
  <si>
    <t>Phenol, 4-ethyl-</t>
  </si>
  <si>
    <t>C8H10O</t>
  </si>
  <si>
    <t>Phenol, 3,4-dimethyl-</t>
  </si>
  <si>
    <t>2-Methoxy-5-methylphenol</t>
  </si>
  <si>
    <t>Dodecanoic acid</t>
  </si>
  <si>
    <t>C12H24O2</t>
  </si>
  <si>
    <t>3-Hydroxy-4-methoxybenzoic acid</t>
  </si>
  <si>
    <t>C8H8O4</t>
  </si>
  <si>
    <t>1,2-Benzenediol, 3-methyl-</t>
  </si>
  <si>
    <t>Benzene, 1,2,3-trimethoxy-5-methyl-</t>
  </si>
  <si>
    <t>C10H14O3</t>
  </si>
  <si>
    <t>Phenol, 2-ethyl-</t>
  </si>
  <si>
    <t>Phenol, 2-methoxy-4-(2-propenyl)-, acetate</t>
  </si>
  <si>
    <t>C12H14O3</t>
  </si>
  <si>
    <t>m-Anisic hydrazide</t>
  </si>
  <si>
    <t>C8H10N2O2</t>
  </si>
  <si>
    <t>2-Propanone, 1-(4-hydroxy-3-methoxyphenyl)-</t>
  </si>
  <si>
    <t>C10H12O3</t>
  </si>
  <si>
    <t>1,2-Benzenediol, 3-methoxy-</t>
  </si>
  <si>
    <t>C7H8O3</t>
  </si>
  <si>
    <t>1H-Imidazole, 1-ethyl-</t>
  </si>
  <si>
    <t>C5H8N2</t>
  </si>
  <si>
    <t>(E)-2,6-Dimethoxy-4-(prop-1-en-1-yl)phenol</t>
  </si>
  <si>
    <t>C11H14O3</t>
  </si>
  <si>
    <t>Phenol, 2-methoxy-4-propyl-</t>
  </si>
  <si>
    <t>C10H14O2</t>
  </si>
  <si>
    <t>Phenol, 2-(1-methylethyl)-, methylcarbamate</t>
  </si>
  <si>
    <t>C11H15NO2</t>
  </si>
  <si>
    <t>.beta.-Methoxy-.alpha.-phenylphenethyl alcohol</t>
  </si>
  <si>
    <t>C15H16O2</t>
  </si>
  <si>
    <t>Benzofuran, 2-methyl-</t>
  </si>
  <si>
    <t>C9H8O</t>
  </si>
  <si>
    <t>Homosyringaldehyde</t>
  </si>
  <si>
    <t>C10H12O4</t>
  </si>
  <si>
    <t>Glycine, N-(2-fluorobenzoyl)-, propyl ester</t>
  </si>
  <si>
    <t>C12H14FNO3</t>
  </si>
  <si>
    <t>Benzene, 1-methoxy-4-propyl-</t>
  </si>
  <si>
    <t>C10H14O</t>
  </si>
  <si>
    <t>Benzene, 2-methoxy-1,3,5-trimethyl-</t>
  </si>
  <si>
    <t>2-Propanone, 1-(acetyloxy)-</t>
  </si>
  <si>
    <t>C5H8O3</t>
  </si>
  <si>
    <t>Benzene, 1,4-dimethoxy-</t>
  </si>
  <si>
    <t>2-Cyclohexen-3-ol-1-one, 2-[1-iminoethyl]-</t>
  </si>
  <si>
    <t>C8H11NO2</t>
  </si>
  <si>
    <t>Pentandioic acid, (p-t-butylphenyl) ester</t>
  </si>
  <si>
    <t>C15H20O4</t>
  </si>
  <si>
    <t>Dodecanoic acid, methyl ester</t>
  </si>
  <si>
    <t>C13H26O2</t>
  </si>
  <si>
    <t>Ambucetamide</t>
  </si>
  <si>
    <t>C17H28N2O2</t>
  </si>
  <si>
    <t>Hexadecanoic acid, methyl ester</t>
  </si>
  <si>
    <t>C17H34O2</t>
  </si>
  <si>
    <t>Naphtho[2,1-b]furan</t>
  </si>
  <si>
    <t>C12H8O</t>
  </si>
  <si>
    <t>Phenol, 2,4-dimethyl-</t>
  </si>
  <si>
    <t>5-Methyl-2-allylphenol</t>
  </si>
  <si>
    <t>C10H12O</t>
  </si>
  <si>
    <t>Naphthalene</t>
  </si>
  <si>
    <t>C10H8</t>
  </si>
  <si>
    <t>Ethanone, 1-(3-hydroxy-4-methoxyphenyl)-</t>
  </si>
  <si>
    <t>C9H10O3</t>
  </si>
  <si>
    <t>3-Furaldehyde</t>
  </si>
  <si>
    <t>C5H4O2</t>
  </si>
  <si>
    <t>3-Acetyl-2,5-dimethylthiophene</t>
  </si>
  <si>
    <t>C8H10OS</t>
  </si>
  <si>
    <t>Phenol, 2,4,6-trimethyl-</t>
  </si>
  <si>
    <t>1-Pentanone, 1-(2-furanyl)-</t>
  </si>
  <si>
    <t>Vanillin</t>
  </si>
  <si>
    <t>Benzaldehyde, 2-hydroxy-4-methoxy-</t>
  </si>
  <si>
    <t>2-Cyclopenten-1-one, 2-hydroxy-3-methyl-</t>
  </si>
  <si>
    <t>C6H8O2</t>
  </si>
  <si>
    <t>2-Cyclopenten-1-one, 2,3-dimethyl-</t>
  </si>
  <si>
    <t>C7H10O</t>
  </si>
  <si>
    <t>3,4-dimethylfuran</t>
  </si>
  <si>
    <t>C6H8O</t>
  </si>
  <si>
    <t>1,2,4,5-Tetrazine</t>
  </si>
  <si>
    <t>C2H2N4</t>
  </si>
  <si>
    <t>Acetic acid, phenyl ester</t>
  </si>
  <si>
    <t>C8H8O2</t>
  </si>
  <si>
    <t>n-Hexadecanoic acid</t>
  </si>
  <si>
    <t>C16H32O2</t>
  </si>
  <si>
    <t>Benzofuran</t>
  </si>
  <si>
    <t>C8H6O</t>
  </si>
  <si>
    <t>Tetradecanoic acid</t>
  </si>
  <si>
    <t>C14H28O2</t>
  </si>
  <si>
    <t>2,2'-Bifuran</t>
  </si>
  <si>
    <t>C8H6O2</t>
  </si>
  <si>
    <t>N-(4-Methoxyphenethyl)benzamide</t>
  </si>
  <si>
    <t>C16H17NO2</t>
  </si>
  <si>
    <t>Desaspidinol</t>
  </si>
  <si>
    <t>C11H14O4</t>
  </si>
  <si>
    <t>Succinic acid, 2,4,6-trichlorophenyl 2-naphthylmethyl ester</t>
  </si>
  <si>
    <t>C21H15Cl3O4</t>
  </si>
  <si>
    <t>Acetyl eugenol</t>
  </si>
  <si>
    <t>Ethane, 1,2-diphenyl-1,2-bis(azetidinyl-1)-</t>
  </si>
  <si>
    <t>C20H24N2</t>
  </si>
  <si>
    <t>1H-Benzimidazole, 5,6-dimethyl-</t>
  </si>
  <si>
    <t>C9H10N2</t>
  </si>
  <si>
    <t>1-Propanone, 1-(4-hydroxy-3-methoxyphenyl)-</t>
  </si>
  <si>
    <t>Phenol, 2,6-dimethoxy-4-(2-propenyl)-</t>
  </si>
  <si>
    <t>4-Chlorobutyric acid, 4-isopropylphenyl ester</t>
  </si>
  <si>
    <t>C13H17ClO2</t>
  </si>
  <si>
    <t>2-Furancarboxaldehyde, 5-methyl-</t>
  </si>
  <si>
    <t>Butyrolactone</t>
  </si>
  <si>
    <t>C4H6O2</t>
  </si>
  <si>
    <t>Furan, 3-phenyl-</t>
  </si>
  <si>
    <t>C10H8O</t>
  </si>
  <si>
    <t>Methyl tetradecanoate</t>
  </si>
  <si>
    <t>C15H30O2</t>
  </si>
  <si>
    <t>9H-Xanthene</t>
  </si>
  <si>
    <t>C13H10O</t>
  </si>
  <si>
    <t>Benzaldehyde, 2,4-difluoro-3-hydroxy-</t>
  </si>
  <si>
    <t>C7H4F2O2</t>
  </si>
  <si>
    <t>Naphthalene, 2-methyl-</t>
  </si>
  <si>
    <t>C11H10</t>
  </si>
  <si>
    <t>Diphenylacetylene</t>
  </si>
  <si>
    <t>C14H10</t>
  </si>
  <si>
    <t>Propanoic acid</t>
  </si>
  <si>
    <t>C3H6O2</t>
  </si>
  <si>
    <t>Furan, 2-propyl-</t>
  </si>
  <si>
    <t>3,4,5-Trihydroxyphthalaldehyde</t>
  </si>
  <si>
    <t>C8H6O5</t>
  </si>
  <si>
    <t>2,5,6-Trimethylbenzimidazole</t>
  </si>
  <si>
    <t>C10H12N2</t>
  </si>
  <si>
    <t>Benzaldehyde, 2-hydroxy-</t>
  </si>
  <si>
    <t>C7H6O2</t>
  </si>
  <si>
    <t>Phenol, 4-propyl-</t>
  </si>
  <si>
    <t>Propanoic acid, anhydride</t>
  </si>
  <si>
    <t>C6H10O3</t>
  </si>
  <si>
    <t>Benzoic acid, methyl ester</t>
  </si>
  <si>
    <t>2-Cyclohexen-1-one, 4,4-dimethyl-</t>
  </si>
  <si>
    <t>C8H12O</t>
  </si>
  <si>
    <t>Octanoic acid</t>
  </si>
  <si>
    <t>C8H16O2</t>
  </si>
  <si>
    <t>1,4:3,6-Dianhydro-.alpha.-d-glucopyranose</t>
  </si>
  <si>
    <t>C6H8O4</t>
  </si>
  <si>
    <t>2,3-Pentanedione</t>
  </si>
  <si>
    <t>C5H8O2</t>
  </si>
  <si>
    <t>N-(4-Fluorobenzyl)-N-methylhexadecan-1-amine</t>
  </si>
  <si>
    <t>C24H42FN</t>
  </si>
  <si>
    <t>2,3-Dihydro-7-methoxy-4-methyl-1H-1,5-benzodiazepin-2-one</t>
  </si>
  <si>
    <t>C11H12N2O2</t>
  </si>
  <si>
    <t>1,2-Benzenediol, O-(4-butylbenzoyl)-O'-(isobutoxycarbonyl)-</t>
  </si>
  <si>
    <t>C22H26O5</t>
  </si>
  <si>
    <t>Phenol, 2,3,5-trimethyl-</t>
  </si>
  <si>
    <t>Benzene, pentamethyl-</t>
  </si>
  <si>
    <t>C11H16</t>
  </si>
  <si>
    <t>Acetophenone, 4'-hydroxy-</t>
  </si>
  <si>
    <t>3-Furanmethanol</t>
  </si>
  <si>
    <t>C5H6O2</t>
  </si>
  <si>
    <t>3-Hydroxy-4-methoxybenzoic acid, methyl ester</t>
  </si>
  <si>
    <t>C9H10O4</t>
  </si>
  <si>
    <t>Toluene</t>
  </si>
  <si>
    <t>C7H8</t>
  </si>
  <si>
    <t>Propenoic acid, 2-cyano-3-(1-methyl-5-phenylthio-2-pyrrolyl)-, methyl ester</t>
  </si>
  <si>
    <t>C16H14N2O2S</t>
  </si>
  <si>
    <t>3-Methylbenzothiophene</t>
  </si>
  <si>
    <t>C9H8S</t>
  </si>
  <si>
    <t>Cyclobuta[1,2:3,4]dicyclooctene, hexadecahydro-, (6a.alpha.,6b.alpha.,12a.alpha.,12b.alpha.)-</t>
  </si>
  <si>
    <t>C16H28</t>
  </si>
  <si>
    <t>2-Butanone, 1-(acetyloxy)-</t>
  </si>
  <si>
    <t>Anthracene-9,10-biimine-11,12-dicarboxylic acid, 9,10-dihydro-, diethyl ester</t>
  </si>
  <si>
    <t>C20H20N2O4</t>
  </si>
  <si>
    <t>Methanone, (2,3-dihydro-5-benzofuryl)(4-morpholyl)-</t>
  </si>
  <si>
    <t>C13H15NO3</t>
  </si>
  <si>
    <t>2,4-Azetidinedione, 3-ethyl-3-phenyl-</t>
  </si>
  <si>
    <t>C11H11NO2</t>
  </si>
  <si>
    <t>4,5-Dimethoxy-2-hydroxyacetophenone</t>
  </si>
  <si>
    <t>Pyrazine, 2,6-diethyl-</t>
  </si>
  <si>
    <t>C8H12N2</t>
  </si>
  <si>
    <t>4-Methyl-5H-furan-2-one</t>
  </si>
  <si>
    <t>Benzene, 1-ethynyl-4-methyl-</t>
  </si>
  <si>
    <t>C9H8</t>
  </si>
  <si>
    <t>5-Ethyl-2-octen-4-one</t>
  </si>
  <si>
    <t>C10H18O</t>
  </si>
  <si>
    <t>1-Decen-3-one, 5-hydroxy-4-pentyl-1-phenyl-, (E)-</t>
  </si>
  <si>
    <t>C21H32O2</t>
  </si>
  <si>
    <t>1-Hexanone, 5-methyl-1-phenyl-</t>
  </si>
  <si>
    <t>C13H18O</t>
  </si>
  <si>
    <t>Acetophenone</t>
  </si>
  <si>
    <t>C8H8O</t>
  </si>
  <si>
    <t>Naphthalene, 1,2-dimethyl-</t>
  </si>
  <si>
    <t>C12H12</t>
  </si>
  <si>
    <t>1-Butanone, 4-chloro-1-(4-hydroxyphenyl)-</t>
  </si>
  <si>
    <t>C10H11ClO2</t>
  </si>
  <si>
    <t>5-Methyl-1-(4-methylphenyl)-1H-benzimidazole 3-oxide</t>
  </si>
  <si>
    <t>C15H14N2O</t>
  </si>
  <si>
    <t>1H-1,3-Benzimidazole, 5-methoxy-1-methyl-2-(4-morpholinylmethyl)-</t>
  </si>
  <si>
    <t>C14H19N3O2</t>
  </si>
  <si>
    <t>2,5-Hexanedione</t>
  </si>
  <si>
    <t>C6H10O2</t>
  </si>
  <si>
    <t>2-Cyclopenten-1-one, 3-ethyl-2-hydroxy-</t>
  </si>
  <si>
    <t>C7H10O2</t>
  </si>
  <si>
    <t>7-Isoquinolinol, 1,2,3,4-tetrahydro-6-methoxy-1-salicyl-</t>
  </si>
  <si>
    <t>C17H19NO3</t>
  </si>
  <si>
    <t>Cyclopentanone</t>
  </si>
  <si>
    <t>C5H8O</t>
  </si>
  <si>
    <t>5-Ethyl-2-furaldehyde</t>
  </si>
  <si>
    <t>1-Penten-3-one, 2-methyl-</t>
  </si>
  <si>
    <t>C6H10O</t>
  </si>
  <si>
    <t>Naphthalene, 1,2-dihydro-</t>
  </si>
  <si>
    <t>C10H10</t>
  </si>
  <si>
    <t>Cyclopentanecarboxylic acid, 2-fluorophenyl ester</t>
  </si>
  <si>
    <t>C12H13FO2</t>
  </si>
  <si>
    <t>trans-13-Octadecenoic acid</t>
  </si>
  <si>
    <t>C18H34O2</t>
  </si>
  <si>
    <t>Allyl undecanoate</t>
  </si>
  <si>
    <t>C14H26O2</t>
  </si>
  <si>
    <t>Furan, 2-ethyl-5-methyl-</t>
  </si>
  <si>
    <t>4-Hexen-3-one, 4,5-dimethyl-</t>
  </si>
  <si>
    <t>C8H14O</t>
  </si>
  <si>
    <t>2-Cyclopenten-1-one, 2,3,4-trimethyl-</t>
  </si>
  <si>
    <t>1,2-Oxaphosphole, 3,5-bis(1,1-dimethylethyl)-2,5-dihydro-2-hydroxy-, 2-oxide</t>
  </si>
  <si>
    <t>C11H21O3P</t>
  </si>
  <si>
    <t>Cyclobutanone, 3-phenylmethyl-</t>
  </si>
  <si>
    <t>C11H12O</t>
  </si>
  <si>
    <t>2,4,6-Trihydroxybenzaldehyde</t>
  </si>
  <si>
    <t>C7H6O4</t>
  </si>
  <si>
    <t>2-Methyl-3-(2-chloro-5-hydroxyphenyl)-4(3H)-quinazolinone</t>
  </si>
  <si>
    <t>C15H11ClN2O2</t>
  </si>
  <si>
    <t>1-Propanone, 1-(2-furanyl)-</t>
  </si>
  <si>
    <t>Methyl 3,5-dihydroxybenzoate, 2TMS derivative</t>
  </si>
  <si>
    <t>C14H24O4Si2</t>
  </si>
  <si>
    <t>Fluoranthene</t>
  </si>
  <si>
    <t>C16H10</t>
  </si>
  <si>
    <t>Benzene, 1-methoxy-4-methyl-</t>
  </si>
  <si>
    <t>5,7-Dimethylpyrimido-[3,4-a]-indole</t>
  </si>
  <si>
    <t>C13H12N2</t>
  </si>
  <si>
    <t>Boron, diethyl[3-imino-2-(1-iminoethyl)butanenitrilato-N2,N3]-, (t-4)-</t>
  </si>
  <si>
    <t>C10H18BN3</t>
  </si>
  <si>
    <t>l-Alanine, N-(p-toluoyl)-, octyl ester</t>
  </si>
  <si>
    <t>C19H29NO3</t>
  </si>
  <si>
    <t>Propanoic acid, 2-methyl-, anhydride</t>
  </si>
  <si>
    <t>C8H14O3</t>
  </si>
  <si>
    <t>1-Pentanone, 1-(4-methylphenyl)-</t>
  </si>
  <si>
    <t>C12H16O</t>
  </si>
  <si>
    <t>4-Methyl-6-hepten-4-olide</t>
  </si>
  <si>
    <t>C8H12O2</t>
  </si>
  <si>
    <t>Pentanoic acid, 5-hydroxy-, 2,4-di-t-butylphenyl esters</t>
  </si>
  <si>
    <t>C19H30O3</t>
  </si>
  <si>
    <t>2-(3-Thienyl)pyridine</t>
  </si>
  <si>
    <t>C9H7NS</t>
  </si>
  <si>
    <t>5-Bromo-2-thiophenecarboxaldehyde</t>
  </si>
  <si>
    <t>C5H3BrOS</t>
  </si>
  <si>
    <t>2-Fluorobenzylamine, diundecyl</t>
  </si>
  <si>
    <t>C29H52FN</t>
  </si>
  <si>
    <t>Pentanoic acid, 4-oxo-, methyl ester</t>
  </si>
  <si>
    <t>o-Phenylene benzeneboronate</t>
  </si>
  <si>
    <t>C12H9BO2</t>
  </si>
  <si>
    <t>2-Cyclopenten-1-one, 3,4-dimethyl-</t>
  </si>
  <si>
    <t>4-Hexen-3-one, 5-methyl-</t>
  </si>
  <si>
    <t>C7H12O</t>
  </si>
  <si>
    <t>Benzene, 1,3-dimethyl-</t>
  </si>
  <si>
    <t>C8H10</t>
  </si>
  <si>
    <t>1,4-Cyclohex-2-enedione</t>
  </si>
  <si>
    <t>(3S,3aR)-3-Butyl-3a,4,5,6-tetrahydroisobenzofuran-1(3H)-one</t>
  </si>
  <si>
    <t>C12H18O2</t>
  </si>
  <si>
    <t>Benzo[b]thiophene, 3,5-dimethyl-</t>
  </si>
  <si>
    <t>C10H10S</t>
  </si>
  <si>
    <t>Oxalic acid, monoamide, N-ethyl-N-(3-methylphenyl)-, decyl ester</t>
  </si>
  <si>
    <t>C21H33NO3</t>
  </si>
  <si>
    <t>Furan, 2-methoxy-</t>
  </si>
  <si>
    <t>3-Acetyl-2,5,6-trimethylhydroquinone</t>
  </si>
  <si>
    <t>Benzenemethanol, .alpha.-[1-(ethylmethylamino)ethyl]-, [R-(R*,S*)]-</t>
  </si>
  <si>
    <t>C12H19NO</t>
  </si>
  <si>
    <t>2,4(1H,3H)-Quinazolinedione, 3-methyl-</t>
  </si>
  <si>
    <t>C9H8N2O2</t>
  </si>
  <si>
    <t>Propanedinitrile, 2-(5-phenylthio-2-thienylmethylene)-</t>
  </si>
  <si>
    <t>C14H8N2S2</t>
  </si>
  <si>
    <t>Isomaltol</t>
  </si>
  <si>
    <t>C6H6O3</t>
  </si>
  <si>
    <t>Heptafluorobutyramide, N-benzyl-N-(hept-2-yl)-</t>
  </si>
  <si>
    <t>C18H22F7NO</t>
  </si>
  <si>
    <t>Anthrone</t>
  </si>
  <si>
    <t>C14H10O</t>
  </si>
  <si>
    <t>2-(2',4'-Dimethoxyphenyl)-6-methoxy-benzofuran</t>
  </si>
  <si>
    <t>C17H16O4</t>
  </si>
  <si>
    <t>phenol</t>
  </si>
  <si>
    <t>Total</t>
  </si>
  <si>
    <t>methoxy</t>
  </si>
  <si>
    <t>ester</t>
  </si>
  <si>
    <t>amide</t>
  </si>
  <si>
    <t>carboxylic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</si>
</sst>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96040-A310-4945-97A4-2FB32B401A3D}" name="Table1" displayName="Table1" ref="A1:H195" totalsRowShown="0">
  <autoFilter ref="A1:H195" xr:uid="{02696040-A310-4945-97A4-2FB32B401A3D}">
    <filterColumn colId="2">
      <customFilters>
        <customFilter operator="greaterThan" val="85"/>
      </customFilters>
    </filterColumn>
    <filterColumn colId="7">
      <customFilters>
        <customFilter operator="greaterThan" val="100000"/>
      </customFilters>
    </filterColumn>
  </autoFilter>
  <sortState xmlns:xlrd2="http://schemas.microsoft.com/office/spreadsheetml/2017/richdata2" ref="A2:H195">
    <sortCondition ref="A1:A195"/>
  </sortState>
  <tableColumns count="8">
    <tableColumn id="1" xr3:uid="{01AC00D2-410B-4476-B377-1C3B8197E384}" name="Component RT"/>
    <tableColumn id="2" xr3:uid="{1133B22A-391B-4B5C-91B2-6E57F5886970}" name="Compound Name"/>
    <tableColumn id="3" xr3:uid="{E38942FF-10BF-4BBC-8FC3-13FC41C0966F}" name="Match Factor"/>
    <tableColumn id="4" xr3:uid="{7F272C7A-D3F0-45C0-8BCB-62A2B442E9A3}" name="Best Hit"/>
    <tableColumn id="5" xr3:uid="{2DC9BF57-9B26-4EE7-800B-2A5F5C551CA3}" name="Formula"/>
    <tableColumn id="6" xr3:uid="{18902260-5B9A-48CF-A7D0-647D0203620B}" name="Area %"/>
    <tableColumn id="7" xr3:uid="{4D7F21DC-EE76-40BF-B1F3-C4638D394C59}" name="Area % Max."/>
    <tableColumn id="8" xr3:uid="{5109D0E5-1D89-49C1-83D5-3564056D1BCA}" name="Base Peak 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3A3C-3C2C-4760-A06E-2E5E378BF6B9}">
  <dimension ref="A1:N195"/>
  <sheetViews>
    <sheetView tabSelected="1" zoomScale="110" zoomScaleNormal="110" workbookViewId="0">
      <selection activeCell="P43" sqref="P43"/>
    </sheetView>
  </sheetViews>
  <sheetFormatPr defaultRowHeight="14.4" x14ac:dyDescent="0.3"/>
  <cols>
    <col min="1" max="1" width="14.88671875" customWidth="1"/>
    <col min="2" max="2" width="51.77734375" customWidth="1"/>
    <col min="3" max="3" width="13.6640625" hidden="1" customWidth="1"/>
    <col min="4" max="4" width="9.44140625" hidden="1" customWidth="1"/>
    <col min="5" max="5" width="9.77734375" hidden="1" customWidth="1"/>
    <col min="6" max="6" width="0" hidden="1" customWidth="1"/>
    <col min="7" max="7" width="12.77734375" hidden="1" customWidth="1"/>
    <col min="8" max="8" width="15.44140625" customWidth="1"/>
    <col min="9" max="9" width="13.109375" customWidth="1"/>
    <col min="10" max="10" width="11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306</v>
      </c>
      <c r="J1" t="s">
        <v>305</v>
      </c>
      <c r="K1" t="s">
        <v>307</v>
      </c>
      <c r="L1" t="s">
        <v>308</v>
      </c>
      <c r="M1" t="s">
        <v>309</v>
      </c>
      <c r="N1" t="s">
        <v>310</v>
      </c>
    </row>
    <row r="2" spans="1:14" hidden="1" x14ac:dyDescent="0.3">
      <c r="A2">
        <v>3.1799054323826201</v>
      </c>
      <c r="B2" t="s">
        <v>145</v>
      </c>
      <c r="C2">
        <v>89.212334563582701</v>
      </c>
      <c r="D2" t="b">
        <v>1</v>
      </c>
      <c r="E2" t="s">
        <v>146</v>
      </c>
      <c r="H2">
        <v>29375.767883561799</v>
      </c>
    </row>
    <row r="3" spans="1:14" hidden="1" x14ac:dyDescent="0.3">
      <c r="A3">
        <v>4.2110670063696096</v>
      </c>
      <c r="B3" t="s">
        <v>291</v>
      </c>
      <c r="C3">
        <v>77.079469975011193</v>
      </c>
      <c r="D3" t="b">
        <v>1</v>
      </c>
      <c r="E3" t="s">
        <v>292</v>
      </c>
      <c r="H3">
        <v>3496.0919390127701</v>
      </c>
    </row>
    <row r="4" spans="1:14" hidden="1" x14ac:dyDescent="0.3">
      <c r="A4">
        <v>4.23448639810759</v>
      </c>
      <c r="B4" t="s">
        <v>155</v>
      </c>
      <c r="C4">
        <v>88.139288707531605</v>
      </c>
      <c r="D4" t="b">
        <v>1</v>
      </c>
      <c r="E4" t="s">
        <v>156</v>
      </c>
      <c r="H4">
        <v>26789.263654456001</v>
      </c>
    </row>
    <row r="5" spans="1:14" hidden="1" x14ac:dyDescent="0.3">
      <c r="A5">
        <v>4.2393737685011903</v>
      </c>
      <c r="B5" t="s">
        <v>180</v>
      </c>
      <c r="C5">
        <v>75.989414880563402</v>
      </c>
      <c r="D5" t="b">
        <v>1</v>
      </c>
      <c r="E5" t="s">
        <v>181</v>
      </c>
      <c r="H5">
        <v>19150.127014097299</v>
      </c>
    </row>
    <row r="6" spans="1:14" hidden="1" x14ac:dyDescent="0.3">
      <c r="A6">
        <v>4.6303679995145002</v>
      </c>
      <c r="B6" t="s">
        <v>223</v>
      </c>
      <c r="C6">
        <v>90.668534998273699</v>
      </c>
      <c r="D6" t="b">
        <v>1</v>
      </c>
      <c r="E6" t="s">
        <v>224</v>
      </c>
      <c r="H6">
        <v>13068.351013822299</v>
      </c>
    </row>
    <row r="7" spans="1:14" hidden="1" x14ac:dyDescent="0.3">
      <c r="A7">
        <v>5.37273448999093</v>
      </c>
      <c r="B7" t="s">
        <v>89</v>
      </c>
      <c r="C7">
        <v>90.416773671599202</v>
      </c>
      <c r="D7" t="b">
        <v>1</v>
      </c>
      <c r="E7" t="s">
        <v>90</v>
      </c>
      <c r="H7">
        <v>65357.922859203703</v>
      </c>
    </row>
    <row r="8" spans="1:14" hidden="1" x14ac:dyDescent="0.3">
      <c r="A8">
        <v>5.3766850903912999</v>
      </c>
      <c r="B8" t="s">
        <v>103</v>
      </c>
      <c r="C8">
        <v>87.963176399796595</v>
      </c>
      <c r="D8" t="b">
        <v>1</v>
      </c>
      <c r="E8" t="s">
        <v>104</v>
      </c>
      <c r="H8">
        <v>54152.145098895198</v>
      </c>
    </row>
    <row r="9" spans="1:14" hidden="1" x14ac:dyDescent="0.3">
      <c r="A9">
        <v>5.7559266958886504</v>
      </c>
      <c r="B9" t="s">
        <v>176</v>
      </c>
      <c r="C9">
        <v>88.989662979746498</v>
      </c>
      <c r="D9" t="b">
        <v>1</v>
      </c>
      <c r="E9" t="s">
        <v>177</v>
      </c>
      <c r="H9">
        <v>19988.389436862599</v>
      </c>
    </row>
    <row r="10" spans="1:14" hidden="1" x14ac:dyDescent="0.3">
      <c r="A10">
        <v>6.0113559101513303</v>
      </c>
      <c r="B10" t="s">
        <v>67</v>
      </c>
      <c r="C10">
        <v>97.561169402453302</v>
      </c>
      <c r="D10" t="b">
        <v>1</v>
      </c>
      <c r="E10" t="s">
        <v>68</v>
      </c>
      <c r="H10">
        <v>97958.357444017107</v>
      </c>
    </row>
    <row r="11" spans="1:14" hidden="1" x14ac:dyDescent="0.3">
      <c r="A11">
        <v>6.0318943995866903</v>
      </c>
      <c r="B11" t="s">
        <v>280</v>
      </c>
      <c r="C11">
        <v>78.9136734098918</v>
      </c>
      <c r="D11" t="b">
        <v>1</v>
      </c>
      <c r="E11" t="s">
        <v>281</v>
      </c>
      <c r="H11">
        <v>6620.7053621443301</v>
      </c>
    </row>
    <row r="12" spans="1:14" hidden="1" x14ac:dyDescent="0.3">
      <c r="A12">
        <v>6.7367122934712604</v>
      </c>
      <c r="B12" t="s">
        <v>101</v>
      </c>
      <c r="C12">
        <v>90.692259515772307</v>
      </c>
      <c r="D12" t="b">
        <v>1</v>
      </c>
      <c r="E12" t="s">
        <v>102</v>
      </c>
      <c r="H12">
        <v>57727.953314653198</v>
      </c>
    </row>
    <row r="13" spans="1:14" hidden="1" x14ac:dyDescent="0.3">
      <c r="A13">
        <v>6.7878696891479704</v>
      </c>
      <c r="B13" t="s">
        <v>94</v>
      </c>
      <c r="C13">
        <v>80.116289290942007</v>
      </c>
      <c r="D13" t="b">
        <v>1</v>
      </c>
      <c r="E13" t="s">
        <v>20</v>
      </c>
      <c r="H13">
        <v>61737.255655543297</v>
      </c>
    </row>
    <row r="14" spans="1:14" hidden="1" x14ac:dyDescent="0.3">
      <c r="A14">
        <v>6.8368060723470601</v>
      </c>
      <c r="B14" t="s">
        <v>131</v>
      </c>
      <c r="C14">
        <v>88.560790370128899</v>
      </c>
      <c r="D14" t="b">
        <v>1</v>
      </c>
      <c r="E14" t="s">
        <v>132</v>
      </c>
      <c r="H14">
        <v>34740.820103188598</v>
      </c>
    </row>
    <row r="15" spans="1:14" hidden="1" x14ac:dyDescent="0.3">
      <c r="A15">
        <v>7.1541843982103597</v>
      </c>
      <c r="B15" t="s">
        <v>217</v>
      </c>
      <c r="C15">
        <v>85.193960490128703</v>
      </c>
      <c r="D15" t="b">
        <v>1</v>
      </c>
      <c r="E15" t="s">
        <v>218</v>
      </c>
      <c r="H15">
        <v>14421.4445384545</v>
      </c>
    </row>
    <row r="16" spans="1:14" hidden="1" x14ac:dyDescent="0.3">
      <c r="A16">
        <v>7.3386309821888904</v>
      </c>
      <c r="B16" t="s">
        <v>94</v>
      </c>
      <c r="C16">
        <v>70.365115244838407</v>
      </c>
      <c r="D16" t="b">
        <v>1</v>
      </c>
      <c r="E16" t="s">
        <v>20</v>
      </c>
      <c r="H16">
        <v>4457.1163890152002</v>
      </c>
    </row>
    <row r="17" spans="1:14" hidden="1" x14ac:dyDescent="0.3">
      <c r="A17">
        <v>7.3566008039928104</v>
      </c>
      <c r="B17" t="s">
        <v>289</v>
      </c>
      <c r="C17">
        <v>87.880473533074706</v>
      </c>
      <c r="D17" t="b">
        <v>1</v>
      </c>
      <c r="E17" t="s">
        <v>177</v>
      </c>
      <c r="H17">
        <v>4085.9812283676001</v>
      </c>
    </row>
    <row r="18" spans="1:14" hidden="1" x14ac:dyDescent="0.3">
      <c r="A18">
        <v>7.4990067141985497</v>
      </c>
      <c r="B18" t="s">
        <v>277</v>
      </c>
      <c r="C18">
        <v>75.545009979857596</v>
      </c>
      <c r="D18" t="b">
        <v>1</v>
      </c>
      <c r="E18" t="s">
        <v>100</v>
      </c>
      <c r="H18">
        <v>7103.02467172242</v>
      </c>
    </row>
    <row r="19" spans="1:14" hidden="1" x14ac:dyDescent="0.3">
      <c r="A19">
        <v>7.7565122990738704</v>
      </c>
      <c r="B19" t="s">
        <v>164</v>
      </c>
      <c r="C19">
        <v>70.558911824126497</v>
      </c>
      <c r="D19" t="b">
        <v>1</v>
      </c>
      <c r="E19" t="s">
        <v>165</v>
      </c>
      <c r="H19">
        <v>23247.744464137599</v>
      </c>
    </row>
    <row r="20" spans="1:14" hidden="1" x14ac:dyDescent="0.3">
      <c r="A20">
        <v>7.7601624677887102</v>
      </c>
      <c r="B20" t="s">
        <v>130</v>
      </c>
      <c r="C20">
        <v>90.510368916000104</v>
      </c>
      <c r="D20" t="b">
        <v>1</v>
      </c>
      <c r="E20" t="s">
        <v>11</v>
      </c>
      <c r="H20">
        <v>34902.493095443097</v>
      </c>
    </row>
    <row r="21" spans="1:14" hidden="1" x14ac:dyDescent="0.3">
      <c r="A21">
        <v>7.8295239439419202</v>
      </c>
      <c r="B21" t="s">
        <v>188</v>
      </c>
      <c r="C21">
        <v>82.601815731963299</v>
      </c>
      <c r="D21" t="b">
        <v>1</v>
      </c>
      <c r="E21" t="s">
        <v>156</v>
      </c>
      <c r="H21">
        <v>18126.656668075299</v>
      </c>
    </row>
    <row r="22" spans="1:14" x14ac:dyDescent="0.3">
      <c r="A22">
        <v>8.0179614989319692</v>
      </c>
      <c r="B22" t="s">
        <v>8</v>
      </c>
      <c r="C22">
        <v>98.575237163466895</v>
      </c>
      <c r="D22" t="b">
        <v>1</v>
      </c>
      <c r="E22" t="s">
        <v>9</v>
      </c>
      <c r="H22">
        <v>9757329.7736495901</v>
      </c>
      <c r="I22">
        <f>J22+H59+H159+H152</f>
        <v>17644008.236138448</v>
      </c>
      <c r="J22">
        <f>H22+H43+H49+H53+H63+H66+H68+H78+H79+H86+H93+H94+H99+H100+H114+H122+H137+H171+H154</f>
        <v>17019701.733017672</v>
      </c>
      <c r="K22">
        <f>H53+H79+H88+H94+H99+H114+H152+H154+H171</f>
        <v>2976273.2351659397</v>
      </c>
      <c r="L22">
        <f>H86+H137+H171</f>
        <v>905078.18882758496</v>
      </c>
      <c r="M22">
        <f>H86</f>
        <v>115122.754473693</v>
      </c>
      <c r="N22">
        <f>H159</f>
        <v>302072.55660798098</v>
      </c>
    </row>
    <row r="23" spans="1:14" hidden="1" x14ac:dyDescent="0.3">
      <c r="A23">
        <v>8.0293878053180592</v>
      </c>
      <c r="B23" t="s">
        <v>48</v>
      </c>
      <c r="C23">
        <v>75.666570980687396</v>
      </c>
      <c r="D23" t="b">
        <v>1</v>
      </c>
      <c r="E23" t="s">
        <v>49</v>
      </c>
      <c r="H23">
        <v>132468.163528509</v>
      </c>
    </row>
    <row r="24" spans="1:14" hidden="1" x14ac:dyDescent="0.3">
      <c r="A24">
        <v>8.0902103547575699</v>
      </c>
      <c r="B24" t="s">
        <v>226</v>
      </c>
      <c r="C24">
        <v>71.206484441236398</v>
      </c>
      <c r="D24" t="b">
        <v>1</v>
      </c>
      <c r="E24" t="s">
        <v>227</v>
      </c>
      <c r="H24">
        <v>12735.7141970995</v>
      </c>
    </row>
    <row r="25" spans="1:14" hidden="1" x14ac:dyDescent="0.3">
      <c r="A25">
        <v>8.1536350298989095</v>
      </c>
      <c r="B25" t="s">
        <v>274</v>
      </c>
      <c r="C25">
        <v>78.382285295409105</v>
      </c>
      <c r="D25" t="b">
        <v>1</v>
      </c>
      <c r="E25" t="s">
        <v>156</v>
      </c>
      <c r="H25">
        <v>7579.79267203581</v>
      </c>
    </row>
    <row r="26" spans="1:14" hidden="1" x14ac:dyDescent="0.3">
      <c r="A26">
        <v>8.2692867631624303</v>
      </c>
      <c r="B26" t="s">
        <v>94</v>
      </c>
      <c r="C26">
        <v>83.0794379185715</v>
      </c>
      <c r="D26" t="b">
        <v>1</v>
      </c>
      <c r="E26" t="s">
        <v>20</v>
      </c>
      <c r="H26">
        <v>17748.361236219898</v>
      </c>
    </row>
    <row r="27" spans="1:14" hidden="1" x14ac:dyDescent="0.3">
      <c r="A27">
        <v>8.3180558545224006</v>
      </c>
      <c r="B27" t="s">
        <v>109</v>
      </c>
      <c r="C27">
        <v>90.9690796941766</v>
      </c>
      <c r="D27" t="b">
        <v>1</v>
      </c>
      <c r="E27" t="s">
        <v>110</v>
      </c>
      <c r="H27">
        <v>50222.026403992197</v>
      </c>
    </row>
    <row r="28" spans="1:14" hidden="1" x14ac:dyDescent="0.3">
      <c r="A28">
        <v>8.3379370198277201</v>
      </c>
      <c r="B28" t="s">
        <v>186</v>
      </c>
      <c r="C28">
        <v>80.233975739387503</v>
      </c>
      <c r="D28" t="b">
        <v>1</v>
      </c>
      <c r="E28" t="s">
        <v>187</v>
      </c>
      <c r="H28">
        <v>18155.654191129099</v>
      </c>
    </row>
    <row r="29" spans="1:14" hidden="1" x14ac:dyDescent="0.3">
      <c r="A29">
        <v>8.3880021361406207</v>
      </c>
      <c r="B29" t="s">
        <v>201</v>
      </c>
      <c r="C29">
        <v>81.755008823133295</v>
      </c>
      <c r="D29" t="b">
        <v>1</v>
      </c>
      <c r="E29" t="s">
        <v>202</v>
      </c>
      <c r="H29">
        <v>15871.347320614001</v>
      </c>
    </row>
    <row r="30" spans="1:14" hidden="1" x14ac:dyDescent="0.3">
      <c r="A30">
        <v>8.4699573179389596</v>
      </c>
      <c r="B30" t="s">
        <v>260</v>
      </c>
      <c r="C30">
        <v>83.286563397288703</v>
      </c>
      <c r="D30" t="b">
        <v>1</v>
      </c>
      <c r="E30" t="s">
        <v>261</v>
      </c>
      <c r="H30">
        <v>10799.7242203356</v>
      </c>
    </row>
    <row r="31" spans="1:14" hidden="1" x14ac:dyDescent="0.3">
      <c r="A31">
        <v>8.5076529020684308</v>
      </c>
      <c r="B31" t="s">
        <v>248</v>
      </c>
      <c r="C31">
        <v>83.412415980722798</v>
      </c>
      <c r="D31" t="b">
        <v>1</v>
      </c>
      <c r="E31" t="s">
        <v>26</v>
      </c>
      <c r="H31">
        <v>11680.5326550917</v>
      </c>
    </row>
    <row r="32" spans="1:14" hidden="1" x14ac:dyDescent="0.3">
      <c r="A32">
        <v>8.6078902080839903</v>
      </c>
      <c r="B32" t="s">
        <v>158</v>
      </c>
      <c r="C32">
        <v>78.216643199743999</v>
      </c>
      <c r="D32" t="b">
        <v>1</v>
      </c>
      <c r="E32" t="s">
        <v>159</v>
      </c>
      <c r="H32">
        <v>3375.5886871338698</v>
      </c>
    </row>
    <row r="33" spans="1:14" hidden="1" x14ac:dyDescent="0.3">
      <c r="A33">
        <v>8.7023530074474902</v>
      </c>
      <c r="B33" t="s">
        <v>253</v>
      </c>
      <c r="C33">
        <v>81.556880977644298</v>
      </c>
      <c r="D33" t="b">
        <v>1</v>
      </c>
      <c r="E33" t="s">
        <v>29</v>
      </c>
      <c r="H33">
        <v>11140.6111035709</v>
      </c>
    </row>
    <row r="34" spans="1:14" hidden="1" x14ac:dyDescent="0.3">
      <c r="A34">
        <v>8.7192180620694995</v>
      </c>
      <c r="B34" t="s">
        <v>236</v>
      </c>
      <c r="C34">
        <v>71.977846627690496</v>
      </c>
      <c r="D34" t="b">
        <v>1</v>
      </c>
      <c r="E34" t="s">
        <v>100</v>
      </c>
      <c r="H34">
        <v>12167.1087078085</v>
      </c>
    </row>
    <row r="35" spans="1:14" hidden="1" x14ac:dyDescent="0.3">
      <c r="A35">
        <v>8.7685238640945702</v>
      </c>
      <c r="B35" t="s">
        <v>264</v>
      </c>
      <c r="C35">
        <v>74.070729887399693</v>
      </c>
      <c r="D35" t="b">
        <v>1</v>
      </c>
      <c r="E35" t="s">
        <v>265</v>
      </c>
      <c r="H35">
        <v>9890.1940928241693</v>
      </c>
    </row>
    <row r="36" spans="1:14" hidden="1" x14ac:dyDescent="0.3">
      <c r="A36">
        <v>8.7916382848967203</v>
      </c>
      <c r="B36" t="s">
        <v>97</v>
      </c>
      <c r="C36">
        <v>92.702089256813096</v>
      </c>
      <c r="D36" t="b">
        <v>1</v>
      </c>
      <c r="E36" t="s">
        <v>98</v>
      </c>
      <c r="H36">
        <v>60011.050902041803</v>
      </c>
    </row>
    <row r="37" spans="1:14" hidden="1" x14ac:dyDescent="0.3">
      <c r="A37">
        <v>8.8509708477544091</v>
      </c>
      <c r="B37" t="s">
        <v>282</v>
      </c>
      <c r="C37">
        <v>78.457522699800506</v>
      </c>
      <c r="D37" t="b">
        <v>1</v>
      </c>
      <c r="E37" t="s">
        <v>11</v>
      </c>
      <c r="H37">
        <v>6333.6362592958603</v>
      </c>
    </row>
    <row r="38" spans="1:14" hidden="1" x14ac:dyDescent="0.3">
      <c r="A38">
        <v>8.9447590733776998</v>
      </c>
      <c r="B38" t="s">
        <v>283</v>
      </c>
      <c r="C38">
        <v>74.649849208976207</v>
      </c>
      <c r="D38" t="b">
        <v>1</v>
      </c>
      <c r="E38" t="s">
        <v>284</v>
      </c>
      <c r="H38">
        <v>5839.4953735645004</v>
      </c>
    </row>
    <row r="39" spans="1:14" hidden="1" x14ac:dyDescent="0.3">
      <c r="A39">
        <v>9.0213104323111608</v>
      </c>
      <c r="B39" t="s">
        <v>99</v>
      </c>
      <c r="C39">
        <v>93.022616785071904</v>
      </c>
      <c r="D39" t="b">
        <v>1</v>
      </c>
      <c r="E39" t="s">
        <v>100</v>
      </c>
      <c r="H39">
        <v>57811.658699866101</v>
      </c>
    </row>
    <row r="40" spans="1:14" hidden="1" x14ac:dyDescent="0.3">
      <c r="A40">
        <v>9.10757684775594</v>
      </c>
      <c r="B40" t="s">
        <v>198</v>
      </c>
      <c r="C40">
        <v>80.295785099821501</v>
      </c>
      <c r="D40" t="b">
        <v>1</v>
      </c>
      <c r="E40" t="s">
        <v>177</v>
      </c>
      <c r="H40">
        <v>16343.698791933601</v>
      </c>
    </row>
    <row r="41" spans="1:14" hidden="1" x14ac:dyDescent="0.3">
      <c r="A41">
        <v>9.1089548406179297</v>
      </c>
      <c r="B41" t="s">
        <v>152</v>
      </c>
      <c r="C41">
        <v>78.785976024168406</v>
      </c>
      <c r="D41" t="b">
        <v>1</v>
      </c>
      <c r="E41" t="s">
        <v>153</v>
      </c>
      <c r="H41">
        <v>27298.4423808584</v>
      </c>
    </row>
    <row r="42" spans="1:14" hidden="1" x14ac:dyDescent="0.3">
      <c r="A42">
        <v>9.1398806832516204</v>
      </c>
      <c r="B42" t="s">
        <v>199</v>
      </c>
      <c r="C42">
        <v>86.988558167829495</v>
      </c>
      <c r="D42" t="b">
        <v>1</v>
      </c>
      <c r="E42" t="s">
        <v>200</v>
      </c>
      <c r="H42">
        <v>15931.5982336054</v>
      </c>
    </row>
    <row r="43" spans="1:14" x14ac:dyDescent="0.3">
      <c r="A43">
        <v>9.2296862494857805</v>
      </c>
      <c r="B43" t="s">
        <v>18</v>
      </c>
      <c r="C43">
        <v>98.629706496315904</v>
      </c>
      <c r="D43" t="b">
        <v>1</v>
      </c>
      <c r="E43" t="s">
        <v>15</v>
      </c>
      <c r="H43">
        <v>597066.96980136796</v>
      </c>
      <c r="J43">
        <f>J22/I22</f>
        <v>0.96461651486638555</v>
      </c>
      <c r="K43">
        <f>K22/$I$22</f>
        <v>0.16868464326999907</v>
      </c>
      <c r="L43">
        <f t="shared" ref="L43:N43" si="0">L22/$I$22</f>
        <v>5.1296631508808997E-2</v>
      </c>
      <c r="M43">
        <f t="shared" si="0"/>
        <v>6.5247506650953965E-3</v>
      </c>
      <c r="N43">
        <f t="shared" si="0"/>
        <v>1.7120404420877346E-2</v>
      </c>
    </row>
    <row r="44" spans="1:14" hidden="1" x14ac:dyDescent="0.3">
      <c r="A44">
        <v>9.2801652831168493</v>
      </c>
      <c r="B44" t="s">
        <v>297</v>
      </c>
      <c r="C44">
        <v>70.322877166563998</v>
      </c>
      <c r="D44" t="b">
        <v>1</v>
      </c>
      <c r="E44" t="s">
        <v>298</v>
      </c>
      <c r="H44">
        <v>3117.0511835720099</v>
      </c>
    </row>
    <row r="45" spans="1:14" hidden="1" x14ac:dyDescent="0.3">
      <c r="A45">
        <v>9.3729764256793597</v>
      </c>
      <c r="B45" t="s">
        <v>105</v>
      </c>
      <c r="C45">
        <v>85.142899971607605</v>
      </c>
      <c r="D45" t="b">
        <v>1</v>
      </c>
      <c r="E45" t="s">
        <v>106</v>
      </c>
      <c r="H45">
        <v>52862.478468167799</v>
      </c>
    </row>
    <row r="46" spans="1:14" hidden="1" x14ac:dyDescent="0.3">
      <c r="A46">
        <v>9.4291130944598098</v>
      </c>
      <c r="B46" t="s">
        <v>239</v>
      </c>
      <c r="C46">
        <v>86.014840970781606</v>
      </c>
      <c r="D46" t="b">
        <v>1</v>
      </c>
      <c r="E46" t="s">
        <v>159</v>
      </c>
      <c r="H46">
        <v>12064.442529514001</v>
      </c>
    </row>
    <row r="47" spans="1:14" hidden="1" x14ac:dyDescent="0.3">
      <c r="A47">
        <v>9.4913665705502392</v>
      </c>
      <c r="B47" t="s">
        <v>205</v>
      </c>
      <c r="C47">
        <v>82.002236281779403</v>
      </c>
      <c r="D47" t="b">
        <v>1</v>
      </c>
      <c r="E47" t="s">
        <v>206</v>
      </c>
      <c r="H47">
        <v>15486.074282969401</v>
      </c>
    </row>
    <row r="48" spans="1:14" hidden="1" x14ac:dyDescent="0.3">
      <c r="A48">
        <v>9.4916059342218109</v>
      </c>
      <c r="B48" t="s">
        <v>207</v>
      </c>
      <c r="C48">
        <v>80.442558024841503</v>
      </c>
      <c r="D48" t="b">
        <v>1</v>
      </c>
      <c r="E48" t="s">
        <v>208</v>
      </c>
      <c r="H48">
        <v>15486.074282969401</v>
      </c>
    </row>
    <row r="49" spans="1:8" x14ac:dyDescent="0.3">
      <c r="A49">
        <v>9.5564512669485797</v>
      </c>
      <c r="B49" t="s">
        <v>14</v>
      </c>
      <c r="C49">
        <v>99.050012820341493</v>
      </c>
      <c r="D49" t="b">
        <v>1</v>
      </c>
      <c r="E49" t="s">
        <v>15</v>
      </c>
      <c r="H49">
        <v>631962.61451091</v>
      </c>
    </row>
    <row r="50" spans="1:8" hidden="1" x14ac:dyDescent="0.3">
      <c r="A50">
        <v>9.6357255930062404</v>
      </c>
      <c r="B50" t="s">
        <v>147</v>
      </c>
      <c r="C50">
        <v>82.871564774421699</v>
      </c>
      <c r="D50" t="b">
        <v>1</v>
      </c>
      <c r="E50" t="s">
        <v>100</v>
      </c>
      <c r="H50">
        <v>29104.1738035979</v>
      </c>
    </row>
    <row r="51" spans="1:8" hidden="1" x14ac:dyDescent="0.3">
      <c r="A51">
        <v>9.7067951640661398</v>
      </c>
      <c r="B51" t="s">
        <v>230</v>
      </c>
      <c r="C51">
        <v>75.957082353015494</v>
      </c>
      <c r="D51" t="b">
        <v>1</v>
      </c>
      <c r="E51" t="s">
        <v>231</v>
      </c>
      <c r="H51">
        <v>12596.938931062001</v>
      </c>
    </row>
    <row r="52" spans="1:8" hidden="1" x14ac:dyDescent="0.3">
      <c r="A52">
        <v>9.7931123720845008</v>
      </c>
      <c r="B52" t="s">
        <v>262</v>
      </c>
      <c r="C52">
        <v>74.200006869549895</v>
      </c>
      <c r="D52" t="b">
        <v>1</v>
      </c>
      <c r="E52" t="s">
        <v>263</v>
      </c>
      <c r="H52">
        <v>1147.4035733337801</v>
      </c>
    </row>
    <row r="53" spans="1:8" x14ac:dyDescent="0.3">
      <c r="A53">
        <v>9.85294248224589</v>
      </c>
      <c r="B53" t="s">
        <v>25</v>
      </c>
      <c r="C53">
        <v>98.551329906675093</v>
      </c>
      <c r="D53" t="b">
        <v>1</v>
      </c>
      <c r="E53" t="s">
        <v>26</v>
      </c>
      <c r="H53">
        <v>412496.07847163099</v>
      </c>
    </row>
    <row r="54" spans="1:8" hidden="1" x14ac:dyDescent="0.3">
      <c r="A54">
        <v>9.9443386253772097</v>
      </c>
      <c r="B54" t="s">
        <v>237</v>
      </c>
      <c r="C54">
        <v>77.272129673343898</v>
      </c>
      <c r="D54" t="b">
        <v>1</v>
      </c>
      <c r="E54" t="s">
        <v>238</v>
      </c>
      <c r="H54">
        <v>12119.1349764143</v>
      </c>
    </row>
    <row r="55" spans="1:8" hidden="1" x14ac:dyDescent="0.3">
      <c r="A55">
        <v>9.9521455316233602</v>
      </c>
      <c r="B55" t="s">
        <v>157</v>
      </c>
      <c r="C55">
        <v>77.737590000897598</v>
      </c>
      <c r="D55" t="b">
        <v>1</v>
      </c>
      <c r="E55" t="s">
        <v>106</v>
      </c>
      <c r="H55">
        <v>25389.853421383501</v>
      </c>
    </row>
    <row r="56" spans="1:8" hidden="1" x14ac:dyDescent="0.3">
      <c r="A56">
        <v>10.0214933680175</v>
      </c>
      <c r="B56" t="s">
        <v>58</v>
      </c>
      <c r="C56">
        <v>70.531031531459803</v>
      </c>
      <c r="D56" t="b">
        <v>1</v>
      </c>
      <c r="E56" t="s">
        <v>59</v>
      </c>
      <c r="H56">
        <v>12397.698391735101</v>
      </c>
    </row>
    <row r="57" spans="1:8" hidden="1" x14ac:dyDescent="0.3">
      <c r="A57">
        <v>10.06747797635</v>
      </c>
      <c r="B57" t="s">
        <v>158</v>
      </c>
      <c r="C57">
        <v>72.2521546170927</v>
      </c>
      <c r="D57" t="b">
        <v>1</v>
      </c>
      <c r="E57" t="s">
        <v>159</v>
      </c>
      <c r="H57">
        <v>25138.6521230037</v>
      </c>
    </row>
    <row r="58" spans="1:8" hidden="1" x14ac:dyDescent="0.3">
      <c r="A58">
        <v>10.114618364801</v>
      </c>
      <c r="B58" t="s">
        <v>82</v>
      </c>
      <c r="C58">
        <v>92.569026973852004</v>
      </c>
      <c r="D58" t="b">
        <v>1</v>
      </c>
      <c r="E58" t="s">
        <v>29</v>
      </c>
      <c r="H58">
        <v>76228.153793290199</v>
      </c>
    </row>
    <row r="59" spans="1:8" x14ac:dyDescent="0.3">
      <c r="A59">
        <v>10.181545204642701</v>
      </c>
      <c r="B59" t="s">
        <v>58</v>
      </c>
      <c r="C59">
        <v>94.500177342310394</v>
      </c>
      <c r="D59" t="b">
        <v>1</v>
      </c>
      <c r="E59" t="s">
        <v>59</v>
      </c>
      <c r="H59">
        <v>105211.401042495</v>
      </c>
    </row>
    <row r="60" spans="1:8" hidden="1" x14ac:dyDescent="0.3">
      <c r="A60">
        <v>10.2103804193997</v>
      </c>
      <c r="B60" t="s">
        <v>278</v>
      </c>
      <c r="C60">
        <v>76.447277261543107</v>
      </c>
      <c r="D60" t="b">
        <v>1</v>
      </c>
      <c r="E60" t="s">
        <v>279</v>
      </c>
      <c r="H60">
        <v>6958.0602113640098</v>
      </c>
    </row>
    <row r="61" spans="1:8" hidden="1" x14ac:dyDescent="0.3">
      <c r="A61">
        <v>10.3054375133703</v>
      </c>
      <c r="B61" t="s">
        <v>219</v>
      </c>
      <c r="C61">
        <v>76.735692309060099</v>
      </c>
      <c r="D61" t="b">
        <v>1</v>
      </c>
      <c r="E61" t="s">
        <v>220</v>
      </c>
      <c r="H61">
        <v>14414.0117050636</v>
      </c>
    </row>
    <row r="62" spans="1:8" hidden="1" x14ac:dyDescent="0.3">
      <c r="A62">
        <v>10.550922874941</v>
      </c>
      <c r="B62" t="s">
        <v>225</v>
      </c>
      <c r="C62">
        <v>73.232393611137397</v>
      </c>
      <c r="D62" t="b">
        <v>1</v>
      </c>
      <c r="E62" t="s">
        <v>26</v>
      </c>
      <c r="H62">
        <v>12928.8274289602</v>
      </c>
    </row>
    <row r="63" spans="1:8" x14ac:dyDescent="0.3">
      <c r="A63">
        <v>10.563042202035501</v>
      </c>
      <c r="B63" t="s">
        <v>39</v>
      </c>
      <c r="C63">
        <v>97.589159336245203</v>
      </c>
      <c r="D63" t="b">
        <v>1</v>
      </c>
      <c r="E63" t="s">
        <v>29</v>
      </c>
      <c r="H63">
        <v>187550.071788587</v>
      </c>
    </row>
    <row r="64" spans="1:8" hidden="1" x14ac:dyDescent="0.3">
      <c r="A64">
        <v>10.580032690739801</v>
      </c>
      <c r="B64" t="s">
        <v>196</v>
      </c>
      <c r="C64">
        <v>73.006107539728902</v>
      </c>
      <c r="D64" t="b">
        <v>1</v>
      </c>
      <c r="E64" t="s">
        <v>197</v>
      </c>
      <c r="H64">
        <v>16722.670614422401</v>
      </c>
    </row>
    <row r="65" spans="1:8" hidden="1" x14ac:dyDescent="0.3">
      <c r="A65">
        <v>10.6234630464558</v>
      </c>
      <c r="B65" t="s">
        <v>262</v>
      </c>
      <c r="C65">
        <v>73.221934745095496</v>
      </c>
      <c r="D65" t="b">
        <v>1</v>
      </c>
      <c r="E65" t="s">
        <v>263</v>
      </c>
      <c r="H65">
        <v>3853.8320637223801</v>
      </c>
    </row>
    <row r="66" spans="1:8" x14ac:dyDescent="0.3">
      <c r="A66">
        <v>10.7284068068968</v>
      </c>
      <c r="B66" t="s">
        <v>30</v>
      </c>
      <c r="C66">
        <v>98.229805038712101</v>
      </c>
      <c r="D66" t="b">
        <v>1</v>
      </c>
      <c r="E66" t="s">
        <v>29</v>
      </c>
      <c r="H66">
        <v>383968.05209737399</v>
      </c>
    </row>
    <row r="67" spans="1:8" hidden="1" x14ac:dyDescent="0.3">
      <c r="A67">
        <v>10.834851823410499</v>
      </c>
      <c r="B67" t="s">
        <v>228</v>
      </c>
      <c r="C67">
        <v>85.441410192425593</v>
      </c>
      <c r="D67" t="b">
        <v>1</v>
      </c>
      <c r="E67" t="s">
        <v>229</v>
      </c>
      <c r="H67">
        <v>12666.052171236401</v>
      </c>
    </row>
    <row r="68" spans="1:8" x14ac:dyDescent="0.3">
      <c r="A68">
        <v>10.9970390679324</v>
      </c>
      <c r="B68" t="s">
        <v>28</v>
      </c>
      <c r="C68">
        <v>89.423779677660306</v>
      </c>
      <c r="D68" t="b">
        <v>1</v>
      </c>
      <c r="E68" t="s">
        <v>29</v>
      </c>
      <c r="H68">
        <v>394381.45044526801</v>
      </c>
    </row>
    <row r="69" spans="1:8" hidden="1" x14ac:dyDescent="0.3">
      <c r="A69">
        <v>11.0312295281733</v>
      </c>
      <c r="B69" t="s">
        <v>56</v>
      </c>
      <c r="C69">
        <v>73.4921532057528</v>
      </c>
      <c r="D69" t="b">
        <v>1</v>
      </c>
      <c r="E69" t="s">
        <v>57</v>
      </c>
      <c r="H69">
        <v>110508.213682555</v>
      </c>
    </row>
    <row r="70" spans="1:8" hidden="1" x14ac:dyDescent="0.3">
      <c r="A70">
        <v>11.0631142958211</v>
      </c>
      <c r="B70" t="s">
        <v>160</v>
      </c>
      <c r="C70">
        <v>74.575934501339802</v>
      </c>
      <c r="D70" t="b">
        <v>1</v>
      </c>
      <c r="E70" t="s">
        <v>161</v>
      </c>
      <c r="H70">
        <v>24401.593574081398</v>
      </c>
    </row>
    <row r="71" spans="1:8" hidden="1" x14ac:dyDescent="0.3">
      <c r="A71">
        <v>11.182923101015399</v>
      </c>
      <c r="B71" t="s">
        <v>262</v>
      </c>
      <c r="C71">
        <v>78.130737965002297</v>
      </c>
      <c r="D71" t="b">
        <v>1</v>
      </c>
      <c r="E71" t="s">
        <v>263</v>
      </c>
      <c r="H71">
        <v>10025.617369359499</v>
      </c>
    </row>
    <row r="72" spans="1:8" hidden="1" x14ac:dyDescent="0.3">
      <c r="A72">
        <v>11.191947982836901</v>
      </c>
      <c r="B72" t="s">
        <v>39</v>
      </c>
      <c r="C72">
        <v>83.357987067363794</v>
      </c>
      <c r="D72" t="b">
        <v>1</v>
      </c>
      <c r="E72" t="s">
        <v>29</v>
      </c>
      <c r="H72">
        <v>29916.7316171366</v>
      </c>
    </row>
    <row r="73" spans="1:8" hidden="1" x14ac:dyDescent="0.3">
      <c r="A73">
        <v>11.191947982836901</v>
      </c>
      <c r="B73" t="s">
        <v>30</v>
      </c>
      <c r="C73">
        <v>80.662819531571898</v>
      </c>
      <c r="D73" t="b">
        <v>1</v>
      </c>
      <c r="E73" t="s">
        <v>29</v>
      </c>
      <c r="H73">
        <v>29916.7316171366</v>
      </c>
    </row>
    <row r="74" spans="1:8" hidden="1" x14ac:dyDescent="0.3">
      <c r="A74">
        <v>11.256866590795299</v>
      </c>
      <c r="B74" t="s">
        <v>31</v>
      </c>
      <c r="C74">
        <v>86.536399298525296</v>
      </c>
      <c r="D74" t="b">
        <v>1</v>
      </c>
      <c r="E74" t="s">
        <v>22</v>
      </c>
      <c r="H74">
        <v>49669.1240596219</v>
      </c>
    </row>
    <row r="75" spans="1:8" hidden="1" x14ac:dyDescent="0.3">
      <c r="A75">
        <v>11.3249865513181</v>
      </c>
      <c r="B75" t="s">
        <v>54</v>
      </c>
      <c r="C75">
        <v>86.799028176968406</v>
      </c>
      <c r="D75" t="b">
        <v>1</v>
      </c>
      <c r="E75" t="s">
        <v>55</v>
      </c>
      <c r="H75">
        <v>51640.170860000697</v>
      </c>
    </row>
    <row r="76" spans="1:8" hidden="1" x14ac:dyDescent="0.3">
      <c r="A76">
        <v>11.398311448804</v>
      </c>
      <c r="B76" t="s">
        <v>85</v>
      </c>
      <c r="C76">
        <v>80.601543828754501</v>
      </c>
      <c r="D76" t="b">
        <v>1</v>
      </c>
      <c r="E76" t="s">
        <v>86</v>
      </c>
      <c r="H76">
        <v>71127.147259326899</v>
      </c>
    </row>
    <row r="77" spans="1:8" hidden="1" x14ac:dyDescent="0.3">
      <c r="A77">
        <v>11.410406702392301</v>
      </c>
      <c r="B77" t="s">
        <v>30</v>
      </c>
      <c r="C77">
        <v>79.793204136348095</v>
      </c>
      <c r="D77" t="b">
        <v>1</v>
      </c>
      <c r="E77" t="s">
        <v>29</v>
      </c>
      <c r="H77">
        <v>34499.1473809003</v>
      </c>
    </row>
    <row r="78" spans="1:8" x14ac:dyDescent="0.3">
      <c r="A78">
        <v>11.4526922770967</v>
      </c>
      <c r="B78" t="s">
        <v>10</v>
      </c>
      <c r="C78">
        <v>96.278965728001594</v>
      </c>
      <c r="D78" t="b">
        <v>1</v>
      </c>
      <c r="E78" t="s">
        <v>11</v>
      </c>
      <c r="H78">
        <v>823778.97337447095</v>
      </c>
    </row>
    <row r="79" spans="1:8" x14ac:dyDescent="0.3">
      <c r="A79">
        <v>11.465407386451799</v>
      </c>
      <c r="B79" t="s">
        <v>31</v>
      </c>
      <c r="C79">
        <v>90.207956351643304</v>
      </c>
      <c r="D79" t="b">
        <v>1</v>
      </c>
      <c r="E79" t="s">
        <v>22</v>
      </c>
      <c r="H79">
        <v>355383.19510815298</v>
      </c>
    </row>
    <row r="80" spans="1:8" hidden="1" x14ac:dyDescent="0.3">
      <c r="A80">
        <v>11.6172161467303</v>
      </c>
      <c r="B80" t="s">
        <v>93</v>
      </c>
      <c r="C80">
        <v>92.0980761445892</v>
      </c>
      <c r="D80" t="b">
        <v>1</v>
      </c>
      <c r="E80" t="s">
        <v>24</v>
      </c>
      <c r="H80">
        <v>62310.480085619398</v>
      </c>
    </row>
    <row r="81" spans="1:8" hidden="1" x14ac:dyDescent="0.3">
      <c r="A81">
        <v>11.706060929721801</v>
      </c>
      <c r="B81" t="s">
        <v>162</v>
      </c>
      <c r="C81">
        <v>85.3611001006755</v>
      </c>
      <c r="D81" t="b">
        <v>1</v>
      </c>
      <c r="E81" t="s">
        <v>163</v>
      </c>
      <c r="H81">
        <v>23534.456924034599</v>
      </c>
    </row>
    <row r="82" spans="1:8" hidden="1" x14ac:dyDescent="0.3">
      <c r="A82">
        <v>11.7199896455827</v>
      </c>
      <c r="B82" t="s">
        <v>124</v>
      </c>
      <c r="C82">
        <v>77.889046740548594</v>
      </c>
      <c r="D82" t="b">
        <v>1</v>
      </c>
      <c r="E82" t="s">
        <v>125</v>
      </c>
      <c r="H82">
        <v>43731.402731864298</v>
      </c>
    </row>
    <row r="83" spans="1:8" hidden="1" x14ac:dyDescent="0.3">
      <c r="A83">
        <v>11.7641824126081</v>
      </c>
      <c r="B83" t="s">
        <v>25</v>
      </c>
      <c r="C83">
        <v>80.510321917445395</v>
      </c>
      <c r="D83" t="b">
        <v>1</v>
      </c>
      <c r="E83" t="s">
        <v>26</v>
      </c>
      <c r="H83">
        <v>4215.8835830804201</v>
      </c>
    </row>
    <row r="84" spans="1:8" hidden="1" x14ac:dyDescent="0.3">
      <c r="A84">
        <v>11.833500458229601</v>
      </c>
      <c r="B84" t="s">
        <v>154</v>
      </c>
      <c r="C84">
        <v>75.333598259274098</v>
      </c>
      <c r="D84" t="b">
        <v>1</v>
      </c>
      <c r="E84" t="s">
        <v>24</v>
      </c>
      <c r="H84">
        <v>26913.199174430301</v>
      </c>
    </row>
    <row r="85" spans="1:8" hidden="1" x14ac:dyDescent="0.3">
      <c r="A85">
        <v>11.8390682119754</v>
      </c>
      <c r="B85" t="s">
        <v>122</v>
      </c>
      <c r="C85">
        <v>71.190344621484698</v>
      </c>
      <c r="D85" t="b">
        <v>1</v>
      </c>
      <c r="E85" t="s">
        <v>123</v>
      </c>
      <c r="H85">
        <v>43843.966568616997</v>
      </c>
    </row>
    <row r="86" spans="1:8" x14ac:dyDescent="0.3">
      <c r="A86">
        <v>11.926137269756101</v>
      </c>
      <c r="B86" t="s">
        <v>54</v>
      </c>
      <c r="C86">
        <v>89.766109735058905</v>
      </c>
      <c r="D86" t="b">
        <v>1</v>
      </c>
      <c r="E86" t="s">
        <v>55</v>
      </c>
      <c r="H86">
        <v>115122.754473693</v>
      </c>
    </row>
    <row r="87" spans="1:8" hidden="1" x14ac:dyDescent="0.3">
      <c r="A87">
        <v>11.9346012791465</v>
      </c>
      <c r="B87" t="s">
        <v>124</v>
      </c>
      <c r="C87">
        <v>79.218495639884907</v>
      </c>
      <c r="D87" t="b">
        <v>1</v>
      </c>
      <c r="E87" t="s">
        <v>125</v>
      </c>
      <c r="H87">
        <v>20907.264062485701</v>
      </c>
    </row>
    <row r="88" spans="1:8" x14ac:dyDescent="0.3">
      <c r="A88">
        <v>12.084716107508299</v>
      </c>
      <c r="B88" t="s">
        <v>23</v>
      </c>
      <c r="C88">
        <v>94.960123063347496</v>
      </c>
      <c r="D88" t="b">
        <v>1</v>
      </c>
      <c r="E88" t="s">
        <v>24</v>
      </c>
      <c r="H88">
        <v>418485.651543974</v>
      </c>
    </row>
    <row r="89" spans="1:8" hidden="1" x14ac:dyDescent="0.3">
      <c r="A89">
        <v>12.1073475677548</v>
      </c>
      <c r="B89" t="s">
        <v>166</v>
      </c>
      <c r="C89">
        <v>79.274444676042904</v>
      </c>
      <c r="D89" t="b">
        <v>1</v>
      </c>
      <c r="E89" t="s">
        <v>167</v>
      </c>
      <c r="H89">
        <v>23017.806720568798</v>
      </c>
    </row>
    <row r="90" spans="1:8" hidden="1" x14ac:dyDescent="0.3">
      <c r="A90">
        <v>12.1475882756377</v>
      </c>
      <c r="B90" t="s">
        <v>54</v>
      </c>
      <c r="C90">
        <v>79.423148251996807</v>
      </c>
      <c r="D90" t="b">
        <v>1</v>
      </c>
      <c r="E90" t="s">
        <v>55</v>
      </c>
      <c r="H90">
        <v>37299.331123252203</v>
      </c>
    </row>
    <row r="91" spans="1:8" hidden="1" x14ac:dyDescent="0.3">
      <c r="A91">
        <v>12.154638755431099</v>
      </c>
      <c r="B91" t="s">
        <v>115</v>
      </c>
      <c r="C91">
        <v>76.599610322368605</v>
      </c>
      <c r="D91" t="b">
        <v>1</v>
      </c>
      <c r="E91" t="s">
        <v>116</v>
      </c>
      <c r="H91">
        <v>48193.385892635903</v>
      </c>
    </row>
    <row r="92" spans="1:8" hidden="1" x14ac:dyDescent="0.3">
      <c r="A92">
        <v>12.159274852275001</v>
      </c>
      <c r="B92" t="s">
        <v>113</v>
      </c>
      <c r="C92">
        <v>85.871400792939895</v>
      </c>
      <c r="D92" t="b">
        <v>1</v>
      </c>
      <c r="E92" t="s">
        <v>114</v>
      </c>
      <c r="H92">
        <v>48193.385892635903</v>
      </c>
    </row>
    <row r="93" spans="1:8" x14ac:dyDescent="0.3">
      <c r="A93">
        <v>12.387462201877501</v>
      </c>
      <c r="B93" t="s">
        <v>36</v>
      </c>
      <c r="C93">
        <v>93.864025219451804</v>
      </c>
      <c r="D93" t="b">
        <v>1</v>
      </c>
      <c r="E93" t="s">
        <v>26</v>
      </c>
      <c r="H93">
        <v>220786.109694949</v>
      </c>
    </row>
    <row r="94" spans="1:8" x14ac:dyDescent="0.3">
      <c r="A94">
        <v>12.472356621966499</v>
      </c>
      <c r="B94" t="s">
        <v>46</v>
      </c>
      <c r="C94">
        <v>93.873666384500396</v>
      </c>
      <c r="D94" t="b">
        <v>1</v>
      </c>
      <c r="E94" t="s">
        <v>47</v>
      </c>
      <c r="H94">
        <v>142073.440774324</v>
      </c>
    </row>
    <row r="95" spans="1:8" hidden="1" x14ac:dyDescent="0.3">
      <c r="A95">
        <v>12.4830241598954</v>
      </c>
      <c r="B95" t="s">
        <v>19</v>
      </c>
      <c r="C95">
        <v>75.912887085708206</v>
      </c>
      <c r="D95" t="b">
        <v>1</v>
      </c>
      <c r="E95" t="s">
        <v>20</v>
      </c>
      <c r="H95">
        <v>14469.4102987305</v>
      </c>
    </row>
    <row r="96" spans="1:8" hidden="1" x14ac:dyDescent="0.3">
      <c r="A96">
        <v>12.518138800139599</v>
      </c>
      <c r="B96" t="s">
        <v>128</v>
      </c>
      <c r="C96">
        <v>72.148122884916305</v>
      </c>
      <c r="D96" t="b">
        <v>1</v>
      </c>
      <c r="E96" t="s">
        <v>129</v>
      </c>
      <c r="H96">
        <v>36341.245194302399</v>
      </c>
    </row>
    <row r="97" spans="1:8" hidden="1" x14ac:dyDescent="0.3">
      <c r="A97">
        <v>12.5805285874885</v>
      </c>
      <c r="B97" t="s">
        <v>172</v>
      </c>
      <c r="C97">
        <v>76.936472451412101</v>
      </c>
      <c r="D97" t="b">
        <v>1</v>
      </c>
      <c r="E97" t="s">
        <v>24</v>
      </c>
      <c r="H97">
        <v>20674.537259642901</v>
      </c>
    </row>
    <row r="98" spans="1:8" hidden="1" x14ac:dyDescent="0.3">
      <c r="A98">
        <v>12.7024210276931</v>
      </c>
      <c r="B98" t="s">
        <v>290</v>
      </c>
      <c r="C98">
        <v>71.437966117276005</v>
      </c>
      <c r="D98" t="b">
        <v>1</v>
      </c>
      <c r="E98" t="s">
        <v>51</v>
      </c>
      <c r="H98">
        <v>3639.1609586670502</v>
      </c>
    </row>
    <row r="99" spans="1:8" x14ac:dyDescent="0.3">
      <c r="A99">
        <v>12.728796606709</v>
      </c>
      <c r="B99" t="s">
        <v>19</v>
      </c>
      <c r="C99">
        <v>95.808001683239695</v>
      </c>
      <c r="D99" t="b">
        <v>1</v>
      </c>
      <c r="E99" t="s">
        <v>20</v>
      </c>
      <c r="H99">
        <v>551212.03965080401</v>
      </c>
    </row>
    <row r="100" spans="1:8" x14ac:dyDescent="0.3">
      <c r="A100">
        <v>12.7885953862819</v>
      </c>
      <c r="B100" t="s">
        <v>27</v>
      </c>
      <c r="C100">
        <v>97.013290493730096</v>
      </c>
      <c r="D100" t="b">
        <v>1</v>
      </c>
      <c r="E100" t="s">
        <v>26</v>
      </c>
      <c r="H100">
        <v>395358.45861314097</v>
      </c>
    </row>
    <row r="101" spans="1:8" hidden="1" x14ac:dyDescent="0.3">
      <c r="A101">
        <v>12.914730904326801</v>
      </c>
      <c r="B101" t="s">
        <v>72</v>
      </c>
      <c r="C101">
        <v>82.714366738753299</v>
      </c>
      <c r="D101" t="b">
        <v>1</v>
      </c>
      <c r="E101" t="s">
        <v>73</v>
      </c>
      <c r="H101">
        <v>90562.5295076443</v>
      </c>
    </row>
    <row r="102" spans="1:8" hidden="1" x14ac:dyDescent="0.3">
      <c r="A102">
        <v>13.0179949608115</v>
      </c>
      <c r="B102" t="s">
        <v>119</v>
      </c>
      <c r="C102">
        <v>82.253835019348003</v>
      </c>
      <c r="D102" t="b">
        <v>1</v>
      </c>
      <c r="E102" t="s">
        <v>120</v>
      </c>
      <c r="H102">
        <v>47089.4194560084</v>
      </c>
    </row>
    <row r="103" spans="1:8" hidden="1" x14ac:dyDescent="0.3">
      <c r="A103">
        <v>13.0849246818774</v>
      </c>
      <c r="B103" t="s">
        <v>64</v>
      </c>
      <c r="C103">
        <v>71.734568638020804</v>
      </c>
      <c r="D103" t="b">
        <v>1</v>
      </c>
      <c r="E103" t="s">
        <v>65</v>
      </c>
      <c r="H103">
        <v>14392.5772729491</v>
      </c>
    </row>
    <row r="104" spans="1:8" hidden="1" x14ac:dyDescent="0.3">
      <c r="A104">
        <v>13.1366237349781</v>
      </c>
      <c r="B104" t="s">
        <v>66</v>
      </c>
      <c r="C104">
        <v>80.917181823038405</v>
      </c>
      <c r="D104" t="b">
        <v>1</v>
      </c>
      <c r="E104" t="s">
        <v>65</v>
      </c>
      <c r="H104">
        <v>99819.883926172697</v>
      </c>
    </row>
    <row r="105" spans="1:8" hidden="1" x14ac:dyDescent="0.3">
      <c r="A105">
        <v>13.2104666712357</v>
      </c>
      <c r="B105" t="s">
        <v>150</v>
      </c>
      <c r="C105">
        <v>78.585580578912399</v>
      </c>
      <c r="D105" t="b">
        <v>1</v>
      </c>
      <c r="E105" t="s">
        <v>151</v>
      </c>
      <c r="H105">
        <v>28103.986553491701</v>
      </c>
    </row>
    <row r="106" spans="1:8" hidden="1" x14ac:dyDescent="0.3">
      <c r="A106">
        <v>13.2655442209265</v>
      </c>
      <c r="B106" t="s">
        <v>141</v>
      </c>
      <c r="C106">
        <v>75.673710486451995</v>
      </c>
      <c r="D106" t="b">
        <v>1</v>
      </c>
      <c r="E106" t="s">
        <v>142</v>
      </c>
      <c r="H106">
        <v>30169.467286589901</v>
      </c>
    </row>
    <row r="107" spans="1:8" hidden="1" x14ac:dyDescent="0.3">
      <c r="A107">
        <v>13.3019826320467</v>
      </c>
      <c r="B107" t="s">
        <v>173</v>
      </c>
      <c r="C107">
        <v>83.602605927369794</v>
      </c>
      <c r="D107" t="b">
        <v>1</v>
      </c>
      <c r="E107" t="s">
        <v>174</v>
      </c>
      <c r="H107">
        <v>20238.182803375901</v>
      </c>
    </row>
    <row r="108" spans="1:8" hidden="1" x14ac:dyDescent="0.3">
      <c r="A108">
        <v>13.3324538657485</v>
      </c>
      <c r="B108" t="s">
        <v>203</v>
      </c>
      <c r="C108">
        <v>70.518973825324196</v>
      </c>
      <c r="D108" t="b">
        <v>1</v>
      </c>
      <c r="E108" t="s">
        <v>204</v>
      </c>
      <c r="H108">
        <v>15660.4061242755</v>
      </c>
    </row>
    <row r="109" spans="1:8" hidden="1" x14ac:dyDescent="0.3">
      <c r="A109">
        <v>13.3514733460666</v>
      </c>
      <c r="B109" t="s">
        <v>64</v>
      </c>
      <c r="C109">
        <v>82.675313403732801</v>
      </c>
      <c r="D109" t="b">
        <v>1</v>
      </c>
      <c r="E109" t="s">
        <v>65</v>
      </c>
      <c r="H109">
        <v>99980.645467378796</v>
      </c>
    </row>
    <row r="110" spans="1:8" hidden="1" x14ac:dyDescent="0.3">
      <c r="A110">
        <v>13.4724678053161</v>
      </c>
      <c r="B110" t="s">
        <v>150</v>
      </c>
      <c r="C110">
        <v>70.004039378106796</v>
      </c>
      <c r="D110" t="b">
        <v>1</v>
      </c>
      <c r="E110" t="s">
        <v>151</v>
      </c>
      <c r="H110">
        <v>8694.6170693972399</v>
      </c>
    </row>
    <row r="111" spans="1:8" hidden="1" x14ac:dyDescent="0.3">
      <c r="A111">
        <v>13.523348106516201</v>
      </c>
      <c r="B111" t="s">
        <v>69</v>
      </c>
      <c r="C111">
        <v>76.709822731750407</v>
      </c>
      <c r="D111" t="b">
        <v>1</v>
      </c>
      <c r="E111" t="s">
        <v>22</v>
      </c>
      <c r="H111">
        <v>96893.6237674898</v>
      </c>
    </row>
    <row r="112" spans="1:8" hidden="1" x14ac:dyDescent="0.3">
      <c r="A112">
        <v>13.596801003430601</v>
      </c>
      <c r="B112" t="s">
        <v>184</v>
      </c>
      <c r="C112">
        <v>71.476885195867396</v>
      </c>
      <c r="D112" t="b">
        <v>1</v>
      </c>
      <c r="E112" t="s">
        <v>185</v>
      </c>
      <c r="H112">
        <v>10606.7626845594</v>
      </c>
    </row>
    <row r="113" spans="1:8" hidden="1" x14ac:dyDescent="0.3">
      <c r="A113">
        <v>13.641833802631901</v>
      </c>
      <c r="B113" t="s">
        <v>184</v>
      </c>
      <c r="C113">
        <v>76.780588243576005</v>
      </c>
      <c r="D113" t="b">
        <v>1</v>
      </c>
      <c r="E113" t="s">
        <v>185</v>
      </c>
      <c r="H113">
        <v>18376.837698749299</v>
      </c>
    </row>
    <row r="114" spans="1:8" x14ac:dyDescent="0.3">
      <c r="A114">
        <v>13.720375473353201</v>
      </c>
      <c r="B114" t="s">
        <v>16</v>
      </c>
      <c r="C114">
        <v>96.322585730815803</v>
      </c>
      <c r="D114" t="b">
        <v>1</v>
      </c>
      <c r="E114" t="s">
        <v>17</v>
      </c>
      <c r="H114">
        <v>605178.32783679396</v>
      </c>
    </row>
    <row r="115" spans="1:8" hidden="1" x14ac:dyDescent="0.3">
      <c r="A115">
        <v>13.858064869938801</v>
      </c>
      <c r="B115" t="s">
        <v>91</v>
      </c>
      <c r="C115">
        <v>71.934483510014601</v>
      </c>
      <c r="D115" t="b">
        <v>1</v>
      </c>
      <c r="E115" t="s">
        <v>92</v>
      </c>
      <c r="H115">
        <v>64876.118765686202</v>
      </c>
    </row>
    <row r="116" spans="1:8" hidden="1" x14ac:dyDescent="0.3">
      <c r="A116">
        <v>13.9018707302914</v>
      </c>
      <c r="B116" t="s">
        <v>168</v>
      </c>
      <c r="C116">
        <v>76.576386247851204</v>
      </c>
      <c r="D116" t="b">
        <v>1</v>
      </c>
      <c r="E116" t="s">
        <v>169</v>
      </c>
      <c r="H116">
        <v>22968.2129977146</v>
      </c>
    </row>
    <row r="117" spans="1:8" hidden="1" x14ac:dyDescent="0.3">
      <c r="A117">
        <v>13.9499943821789</v>
      </c>
      <c r="B117" t="s">
        <v>52</v>
      </c>
      <c r="C117">
        <v>79.227563128031406</v>
      </c>
      <c r="D117" t="b">
        <v>1</v>
      </c>
      <c r="E117" t="s">
        <v>53</v>
      </c>
      <c r="H117">
        <v>117475.830010787</v>
      </c>
    </row>
    <row r="118" spans="1:8" hidden="1" x14ac:dyDescent="0.3">
      <c r="A118">
        <v>13.9723662292801</v>
      </c>
      <c r="B118" t="s">
        <v>256</v>
      </c>
      <c r="C118">
        <v>72.049841730564495</v>
      </c>
      <c r="D118" t="b">
        <v>1</v>
      </c>
      <c r="E118" t="s">
        <v>257</v>
      </c>
      <c r="H118">
        <v>10899.2449939985</v>
      </c>
    </row>
    <row r="119" spans="1:8" hidden="1" x14ac:dyDescent="0.3">
      <c r="A119">
        <v>13.972604279494499</v>
      </c>
      <c r="B119" t="s">
        <v>258</v>
      </c>
      <c r="C119">
        <v>75.120703068220607</v>
      </c>
      <c r="D119" t="b">
        <v>1</v>
      </c>
      <c r="E119" t="s">
        <v>259</v>
      </c>
      <c r="H119">
        <v>10899.2449939985</v>
      </c>
    </row>
    <row r="120" spans="1:8" hidden="1" x14ac:dyDescent="0.3">
      <c r="A120">
        <v>14.0520140341381</v>
      </c>
      <c r="B120" t="s">
        <v>173</v>
      </c>
      <c r="C120">
        <v>71.073860934627106</v>
      </c>
      <c r="D120" t="b">
        <v>1</v>
      </c>
      <c r="E120" t="s">
        <v>174</v>
      </c>
      <c r="H120">
        <v>17587.082529815201</v>
      </c>
    </row>
    <row r="121" spans="1:8" hidden="1" x14ac:dyDescent="0.3">
      <c r="A121">
        <v>14.0570257999277</v>
      </c>
      <c r="B121" t="s">
        <v>42</v>
      </c>
      <c r="C121">
        <v>84.2207405926262</v>
      </c>
      <c r="D121" t="b">
        <v>1</v>
      </c>
      <c r="E121" t="s">
        <v>43</v>
      </c>
      <c r="H121">
        <v>163259.80421147199</v>
      </c>
    </row>
    <row r="122" spans="1:8" x14ac:dyDescent="0.3">
      <c r="A122">
        <v>14.082482111214899</v>
      </c>
      <c r="B122" t="s">
        <v>21</v>
      </c>
      <c r="C122">
        <v>88.051553401317094</v>
      </c>
      <c r="D122" t="b">
        <v>1</v>
      </c>
      <c r="E122" t="s">
        <v>22</v>
      </c>
      <c r="H122">
        <v>501986.68949736102</v>
      </c>
    </row>
    <row r="123" spans="1:8" hidden="1" x14ac:dyDescent="0.3">
      <c r="A123">
        <v>14.1666048515771</v>
      </c>
      <c r="B123" t="s">
        <v>244</v>
      </c>
      <c r="C123">
        <v>71.444776516372301</v>
      </c>
      <c r="D123" t="b">
        <v>1</v>
      </c>
      <c r="E123" t="s">
        <v>245</v>
      </c>
      <c r="H123">
        <v>11871.782200788601</v>
      </c>
    </row>
    <row r="124" spans="1:8" hidden="1" x14ac:dyDescent="0.3">
      <c r="A124">
        <v>14.2468383073194</v>
      </c>
      <c r="B124" t="s">
        <v>175</v>
      </c>
      <c r="C124">
        <v>77.970954085365605</v>
      </c>
      <c r="D124" t="b">
        <v>1</v>
      </c>
      <c r="E124" t="s">
        <v>106</v>
      </c>
      <c r="H124">
        <v>20034.579979451399</v>
      </c>
    </row>
    <row r="125" spans="1:8" hidden="1" x14ac:dyDescent="0.3">
      <c r="A125">
        <v>14.337633153981299</v>
      </c>
      <c r="B125" t="s">
        <v>242</v>
      </c>
      <c r="C125">
        <v>72.6758392490039</v>
      </c>
      <c r="D125" t="b">
        <v>1</v>
      </c>
      <c r="E125" t="s">
        <v>243</v>
      </c>
      <c r="H125">
        <v>11894.2926352226</v>
      </c>
    </row>
    <row r="126" spans="1:8" hidden="1" x14ac:dyDescent="0.3">
      <c r="A126">
        <v>14.3884456091094</v>
      </c>
      <c r="B126" t="s">
        <v>95</v>
      </c>
      <c r="C126">
        <v>78.350568225563705</v>
      </c>
      <c r="D126" t="b">
        <v>1</v>
      </c>
      <c r="E126" t="s">
        <v>13</v>
      </c>
      <c r="H126">
        <v>60044.4213425747</v>
      </c>
    </row>
    <row r="127" spans="1:8" hidden="1" x14ac:dyDescent="0.3">
      <c r="A127">
        <v>14.3889001651721</v>
      </c>
      <c r="B127" t="s">
        <v>96</v>
      </c>
      <c r="C127">
        <v>77.804284869065299</v>
      </c>
      <c r="D127" t="b">
        <v>1</v>
      </c>
      <c r="E127" t="s">
        <v>13</v>
      </c>
      <c r="H127">
        <v>60044.4213425747</v>
      </c>
    </row>
    <row r="128" spans="1:8" hidden="1" x14ac:dyDescent="0.3">
      <c r="A128">
        <v>14.4319743358634</v>
      </c>
      <c r="B128" t="s">
        <v>191</v>
      </c>
      <c r="C128">
        <v>76.432266418003707</v>
      </c>
      <c r="D128" t="b">
        <v>1</v>
      </c>
      <c r="E128" t="s">
        <v>192</v>
      </c>
      <c r="H128">
        <v>17858.165111877301</v>
      </c>
    </row>
    <row r="129" spans="1:8" hidden="1" x14ac:dyDescent="0.3">
      <c r="A129">
        <v>14.495817535788399</v>
      </c>
      <c r="B129" t="s">
        <v>121</v>
      </c>
      <c r="C129">
        <v>76.831083997096499</v>
      </c>
      <c r="D129" t="b">
        <v>1</v>
      </c>
      <c r="E129" t="s">
        <v>41</v>
      </c>
      <c r="H129">
        <v>44920.636882905601</v>
      </c>
    </row>
    <row r="130" spans="1:8" hidden="1" x14ac:dyDescent="0.3">
      <c r="A130">
        <v>14.5162813031759</v>
      </c>
      <c r="B130" t="s">
        <v>209</v>
      </c>
      <c r="C130">
        <v>76.742326907128401</v>
      </c>
      <c r="D130" t="b">
        <v>1</v>
      </c>
      <c r="E130" t="s">
        <v>210</v>
      </c>
      <c r="H130">
        <v>15057.653945296001</v>
      </c>
    </row>
    <row r="131" spans="1:8" hidden="1" x14ac:dyDescent="0.3">
      <c r="A131">
        <v>14.5505513065311</v>
      </c>
      <c r="B131" t="s">
        <v>83</v>
      </c>
      <c r="C131">
        <v>73.645785472063196</v>
      </c>
      <c r="D131" t="b">
        <v>1</v>
      </c>
      <c r="E131" t="s">
        <v>84</v>
      </c>
      <c r="H131">
        <v>76074.012580140305</v>
      </c>
    </row>
    <row r="132" spans="1:8" hidden="1" x14ac:dyDescent="0.3">
      <c r="A132">
        <v>14.603923618328</v>
      </c>
      <c r="B132" t="s">
        <v>193</v>
      </c>
      <c r="C132">
        <v>73.683796906180405</v>
      </c>
      <c r="D132" t="b">
        <v>1</v>
      </c>
      <c r="E132" t="s">
        <v>194</v>
      </c>
      <c r="H132">
        <v>17171.662436779199</v>
      </c>
    </row>
    <row r="133" spans="1:8" hidden="1" x14ac:dyDescent="0.3">
      <c r="A133">
        <v>14.700903952670499</v>
      </c>
      <c r="B133" t="s">
        <v>19</v>
      </c>
      <c r="C133">
        <v>70.6732907349882</v>
      </c>
      <c r="D133" t="b">
        <v>1</v>
      </c>
      <c r="E133" t="s">
        <v>20</v>
      </c>
      <c r="H133">
        <v>23729.601515942501</v>
      </c>
    </row>
    <row r="134" spans="1:8" hidden="1" x14ac:dyDescent="0.3">
      <c r="A134">
        <v>14.827630486071699</v>
      </c>
      <c r="B134" t="s">
        <v>211</v>
      </c>
      <c r="C134">
        <v>74.491895522778094</v>
      </c>
      <c r="D134" t="b">
        <v>1</v>
      </c>
      <c r="E134" t="s">
        <v>212</v>
      </c>
      <c r="H134">
        <v>14900.806515865201</v>
      </c>
    </row>
    <row r="135" spans="1:8" hidden="1" x14ac:dyDescent="0.3">
      <c r="A135">
        <v>14.9037206558523</v>
      </c>
      <c r="B135" t="s">
        <v>19</v>
      </c>
      <c r="C135">
        <v>82.424459768769196</v>
      </c>
      <c r="D135" t="b">
        <v>1</v>
      </c>
      <c r="E135" t="s">
        <v>20</v>
      </c>
      <c r="H135">
        <v>138093.51284795001</v>
      </c>
    </row>
    <row r="136" spans="1:8" hidden="1" x14ac:dyDescent="0.3">
      <c r="A136">
        <v>14.9754176217679</v>
      </c>
      <c r="B136" t="s">
        <v>34</v>
      </c>
      <c r="C136">
        <v>80.284140464311506</v>
      </c>
      <c r="D136" t="b">
        <v>1</v>
      </c>
      <c r="E136" t="s">
        <v>35</v>
      </c>
      <c r="H136">
        <v>300135.233133192</v>
      </c>
    </row>
    <row r="137" spans="1:8" x14ac:dyDescent="0.3">
      <c r="A137">
        <v>15.013722878434899</v>
      </c>
      <c r="B137" t="s">
        <v>12</v>
      </c>
      <c r="C137">
        <v>91.142814938348494</v>
      </c>
      <c r="D137" t="b">
        <v>1</v>
      </c>
      <c r="E137" t="s">
        <v>13</v>
      </c>
      <c r="H137">
        <v>669644.77691929298</v>
      </c>
    </row>
    <row r="138" spans="1:8" hidden="1" x14ac:dyDescent="0.3">
      <c r="A138">
        <v>15.023316619352199</v>
      </c>
      <c r="B138" t="s">
        <v>70</v>
      </c>
      <c r="C138">
        <v>75.208481137986496</v>
      </c>
      <c r="D138" t="b">
        <v>1</v>
      </c>
      <c r="E138" t="s">
        <v>71</v>
      </c>
      <c r="H138">
        <v>96484.136351083303</v>
      </c>
    </row>
    <row r="139" spans="1:8" hidden="1" x14ac:dyDescent="0.3">
      <c r="A139">
        <v>15.0331980344321</v>
      </c>
      <c r="B139" t="s">
        <v>40</v>
      </c>
      <c r="C139">
        <v>78.437749742771302</v>
      </c>
      <c r="D139" t="b">
        <v>1</v>
      </c>
      <c r="E139" t="s">
        <v>41</v>
      </c>
      <c r="H139">
        <v>170728.07827035</v>
      </c>
    </row>
    <row r="140" spans="1:8" hidden="1" x14ac:dyDescent="0.3">
      <c r="A140">
        <v>15.055553004168001</v>
      </c>
      <c r="B140" t="s">
        <v>240</v>
      </c>
      <c r="C140">
        <v>76.950081074977106</v>
      </c>
      <c r="D140" t="b">
        <v>1</v>
      </c>
      <c r="E140" t="s">
        <v>241</v>
      </c>
      <c r="H140">
        <v>12007.948117056399</v>
      </c>
    </row>
    <row r="141" spans="1:8" hidden="1" x14ac:dyDescent="0.3">
      <c r="A141">
        <v>15.275822506154</v>
      </c>
      <c r="B141" t="s">
        <v>62</v>
      </c>
      <c r="C141">
        <v>71.400213315774195</v>
      </c>
      <c r="D141" t="b">
        <v>1</v>
      </c>
      <c r="E141" t="s">
        <v>63</v>
      </c>
      <c r="H141">
        <v>101187.506676693</v>
      </c>
    </row>
    <row r="142" spans="1:8" hidden="1" x14ac:dyDescent="0.3">
      <c r="A142">
        <v>15.3634436799921</v>
      </c>
      <c r="B142" t="s">
        <v>215</v>
      </c>
      <c r="C142">
        <v>71.579564266446894</v>
      </c>
      <c r="D142" t="b">
        <v>1</v>
      </c>
      <c r="E142" t="s">
        <v>216</v>
      </c>
      <c r="H142">
        <v>7231.4634897504802</v>
      </c>
    </row>
    <row r="143" spans="1:8" hidden="1" x14ac:dyDescent="0.3">
      <c r="A143">
        <v>15.4489711803147</v>
      </c>
      <c r="B143" t="s">
        <v>293</v>
      </c>
      <c r="C143">
        <v>77.985596061973496</v>
      </c>
      <c r="D143" t="b">
        <v>1</v>
      </c>
      <c r="E143" t="s">
        <v>294</v>
      </c>
      <c r="H143">
        <v>3413.4542240494802</v>
      </c>
    </row>
    <row r="144" spans="1:8" hidden="1" x14ac:dyDescent="0.3">
      <c r="A144">
        <v>15.4950021621631</v>
      </c>
      <c r="B144" t="s">
        <v>268</v>
      </c>
      <c r="C144">
        <v>74.101145416953102</v>
      </c>
      <c r="D144" t="b">
        <v>1</v>
      </c>
      <c r="E144" t="s">
        <v>269</v>
      </c>
      <c r="H144">
        <v>8340.5641601559491</v>
      </c>
    </row>
    <row r="145" spans="1:8" hidden="1" x14ac:dyDescent="0.3">
      <c r="A145">
        <v>15.5149873086313</v>
      </c>
      <c r="B145" t="s">
        <v>87</v>
      </c>
      <c r="C145">
        <v>80.883088804377806</v>
      </c>
      <c r="D145" t="b">
        <v>1</v>
      </c>
      <c r="E145" t="s">
        <v>88</v>
      </c>
      <c r="H145">
        <v>68766.030900024096</v>
      </c>
    </row>
    <row r="146" spans="1:8" hidden="1" x14ac:dyDescent="0.3">
      <c r="A146">
        <v>15.7580494541328</v>
      </c>
      <c r="B146" t="s">
        <v>266</v>
      </c>
      <c r="C146">
        <v>75.796188841251706</v>
      </c>
      <c r="D146" t="b">
        <v>1</v>
      </c>
      <c r="E146" t="s">
        <v>267</v>
      </c>
      <c r="H146">
        <v>9085.3678463820597</v>
      </c>
    </row>
    <row r="147" spans="1:8" hidden="1" x14ac:dyDescent="0.3">
      <c r="A147">
        <v>15.854133476513899</v>
      </c>
      <c r="B147" t="s">
        <v>170</v>
      </c>
      <c r="C147">
        <v>79.035805620921295</v>
      </c>
      <c r="D147" t="b">
        <v>1</v>
      </c>
      <c r="E147" t="s">
        <v>171</v>
      </c>
      <c r="H147">
        <v>22890.150485006001</v>
      </c>
    </row>
    <row r="148" spans="1:8" hidden="1" x14ac:dyDescent="0.3">
      <c r="A148">
        <v>15.868609003038699</v>
      </c>
      <c r="B148" t="s">
        <v>74</v>
      </c>
      <c r="C148">
        <v>91.414540832921304</v>
      </c>
      <c r="D148" t="b">
        <v>1</v>
      </c>
      <c r="E148" t="s">
        <v>75</v>
      </c>
      <c r="H148">
        <v>90232.208630877096</v>
      </c>
    </row>
    <row r="149" spans="1:8" hidden="1" x14ac:dyDescent="0.3">
      <c r="A149">
        <v>15.878453999887</v>
      </c>
      <c r="B149" t="s">
        <v>178</v>
      </c>
      <c r="C149">
        <v>74.338510383767002</v>
      </c>
      <c r="D149" t="b">
        <v>1</v>
      </c>
      <c r="E149" t="s">
        <v>179</v>
      </c>
      <c r="H149">
        <v>19785.735425794701</v>
      </c>
    </row>
    <row r="150" spans="1:8" hidden="1" x14ac:dyDescent="0.3">
      <c r="A150">
        <v>15.894453869287201</v>
      </c>
      <c r="B150" t="s">
        <v>133</v>
      </c>
      <c r="C150">
        <v>84.554816095486302</v>
      </c>
      <c r="D150" t="b">
        <v>1</v>
      </c>
      <c r="E150" t="s">
        <v>134</v>
      </c>
      <c r="H150">
        <v>34293.063933993697</v>
      </c>
    </row>
    <row r="151" spans="1:8" hidden="1" x14ac:dyDescent="0.3">
      <c r="A151">
        <v>15.9661127816329</v>
      </c>
      <c r="B151" t="s">
        <v>80</v>
      </c>
      <c r="C151">
        <v>88.096891959837095</v>
      </c>
      <c r="D151" t="b">
        <v>1</v>
      </c>
      <c r="E151" t="s">
        <v>81</v>
      </c>
      <c r="H151">
        <v>78311.543039553304</v>
      </c>
    </row>
    <row r="152" spans="1:8" x14ac:dyDescent="0.3">
      <c r="A152">
        <v>15.972004765723501</v>
      </c>
      <c r="B152" t="s">
        <v>37</v>
      </c>
      <c r="C152">
        <v>85.0428570686272</v>
      </c>
      <c r="D152" t="b">
        <v>1</v>
      </c>
      <c r="E152" t="s">
        <v>38</v>
      </c>
      <c r="H152">
        <v>217022.545470301</v>
      </c>
    </row>
    <row r="153" spans="1:8" hidden="1" x14ac:dyDescent="0.3">
      <c r="A153">
        <v>16.008032273605</v>
      </c>
      <c r="B153" t="s">
        <v>285</v>
      </c>
      <c r="C153">
        <v>79.973340429772506</v>
      </c>
      <c r="D153" t="b">
        <v>1</v>
      </c>
      <c r="E153" t="s">
        <v>286</v>
      </c>
      <c r="H153">
        <v>4382.9535390660903</v>
      </c>
    </row>
    <row r="154" spans="1:8" x14ac:dyDescent="0.3">
      <c r="A154">
        <v>16.063060793866899</v>
      </c>
      <c r="B154" t="s">
        <v>44</v>
      </c>
      <c r="C154">
        <v>86.677885808107007</v>
      </c>
      <c r="D154" t="b">
        <v>1</v>
      </c>
      <c r="E154" t="s">
        <v>45</v>
      </c>
      <c r="H154">
        <v>154111.29887535999</v>
      </c>
    </row>
    <row r="155" spans="1:8" hidden="1" x14ac:dyDescent="0.3">
      <c r="A155">
        <v>16.1080021087195</v>
      </c>
      <c r="B155" t="s">
        <v>215</v>
      </c>
      <c r="C155">
        <v>76.120558884048805</v>
      </c>
      <c r="D155" t="b">
        <v>1</v>
      </c>
      <c r="E155" t="s">
        <v>216</v>
      </c>
      <c r="H155">
        <v>14591.932970681401</v>
      </c>
    </row>
    <row r="156" spans="1:8" hidden="1" x14ac:dyDescent="0.3">
      <c r="A156">
        <v>16.1242987985467</v>
      </c>
      <c r="B156" t="s">
        <v>221</v>
      </c>
      <c r="C156">
        <v>73.819213151102701</v>
      </c>
      <c r="D156" t="b">
        <v>1</v>
      </c>
      <c r="E156" t="s">
        <v>222</v>
      </c>
      <c r="H156">
        <v>13335.6504350133</v>
      </c>
    </row>
    <row r="157" spans="1:8" hidden="1" x14ac:dyDescent="0.3">
      <c r="A157">
        <v>16.141199438623801</v>
      </c>
      <c r="B157" t="s">
        <v>148</v>
      </c>
      <c r="C157">
        <v>77.845093530776893</v>
      </c>
      <c r="D157" t="b">
        <v>1</v>
      </c>
      <c r="E157" t="s">
        <v>149</v>
      </c>
      <c r="H157">
        <v>28723.119222507899</v>
      </c>
    </row>
    <row r="158" spans="1:8" hidden="1" x14ac:dyDescent="0.3">
      <c r="A158">
        <v>16.2359528209081</v>
      </c>
      <c r="B158" t="s">
        <v>221</v>
      </c>
      <c r="C158">
        <v>81.775685297943994</v>
      </c>
      <c r="D158" t="b">
        <v>1</v>
      </c>
      <c r="E158" t="s">
        <v>222</v>
      </c>
      <c r="H158">
        <v>4910.7754257483602</v>
      </c>
    </row>
    <row r="159" spans="1:8" x14ac:dyDescent="0.3">
      <c r="A159">
        <v>16.353955469231298</v>
      </c>
      <c r="B159" t="s">
        <v>32</v>
      </c>
      <c r="C159">
        <v>94.918703250514994</v>
      </c>
      <c r="D159" t="b">
        <v>1</v>
      </c>
      <c r="E159" t="s">
        <v>33</v>
      </c>
      <c r="H159">
        <v>302072.55660798098</v>
      </c>
    </row>
    <row r="160" spans="1:8" hidden="1" x14ac:dyDescent="0.3">
      <c r="A160">
        <v>16.683752535158199</v>
      </c>
      <c r="B160" t="s">
        <v>126</v>
      </c>
      <c r="C160">
        <v>70.836745584762397</v>
      </c>
      <c r="D160" t="b">
        <v>1</v>
      </c>
      <c r="E160" t="s">
        <v>45</v>
      </c>
      <c r="H160">
        <v>38210.3593421279</v>
      </c>
    </row>
    <row r="161" spans="1:8" hidden="1" x14ac:dyDescent="0.3">
      <c r="A161">
        <v>16.971534752194898</v>
      </c>
      <c r="B161" t="s">
        <v>60</v>
      </c>
      <c r="C161">
        <v>77.178424003430607</v>
      </c>
      <c r="D161" t="b">
        <v>1</v>
      </c>
      <c r="E161" t="s">
        <v>61</v>
      </c>
      <c r="H161">
        <v>103292.48215387001</v>
      </c>
    </row>
    <row r="162" spans="1:8" hidden="1" x14ac:dyDescent="0.3">
      <c r="A162">
        <v>17.0460603414075</v>
      </c>
      <c r="B162" t="s">
        <v>139</v>
      </c>
      <c r="C162">
        <v>72.846970594556893</v>
      </c>
      <c r="D162" t="b">
        <v>1</v>
      </c>
      <c r="E162" t="s">
        <v>140</v>
      </c>
      <c r="H162">
        <v>21834.2032741107</v>
      </c>
    </row>
    <row r="163" spans="1:8" hidden="1" x14ac:dyDescent="0.3">
      <c r="A163">
        <v>17.119869910738501</v>
      </c>
      <c r="B163" t="s">
        <v>139</v>
      </c>
      <c r="C163">
        <v>72.734854128060107</v>
      </c>
      <c r="D163" t="b">
        <v>1</v>
      </c>
      <c r="E163" t="s">
        <v>140</v>
      </c>
      <c r="H163">
        <v>30457.432673862699</v>
      </c>
    </row>
    <row r="164" spans="1:8" hidden="1" x14ac:dyDescent="0.3">
      <c r="A164">
        <v>17.217928040709001</v>
      </c>
      <c r="B164" t="s">
        <v>137</v>
      </c>
      <c r="C164">
        <v>88.650117466340205</v>
      </c>
      <c r="D164" t="b">
        <v>1</v>
      </c>
      <c r="E164" t="s">
        <v>138</v>
      </c>
      <c r="H164">
        <v>20459.410012548698</v>
      </c>
    </row>
    <row r="165" spans="1:8" hidden="1" x14ac:dyDescent="0.3">
      <c r="A165">
        <v>17.3162541126948</v>
      </c>
      <c r="B165" t="s">
        <v>287</v>
      </c>
      <c r="C165">
        <v>70.932517820092698</v>
      </c>
      <c r="D165" t="b">
        <v>1</v>
      </c>
      <c r="E165" t="s">
        <v>288</v>
      </c>
      <c r="H165">
        <v>4368.6792897749601</v>
      </c>
    </row>
    <row r="166" spans="1:8" hidden="1" x14ac:dyDescent="0.3">
      <c r="A166">
        <v>17.379330463588399</v>
      </c>
      <c r="B166" t="s">
        <v>137</v>
      </c>
      <c r="C166">
        <v>71.851648819238207</v>
      </c>
      <c r="D166" t="b">
        <v>1</v>
      </c>
      <c r="E166" t="s">
        <v>138</v>
      </c>
      <c r="H166">
        <v>32943.578547569603</v>
      </c>
    </row>
    <row r="167" spans="1:8" hidden="1" x14ac:dyDescent="0.3">
      <c r="A167">
        <v>17.460976987465401</v>
      </c>
      <c r="B167" t="s">
        <v>127</v>
      </c>
      <c r="C167">
        <v>73.053474095102899</v>
      </c>
      <c r="D167" t="b">
        <v>1</v>
      </c>
      <c r="E167" t="s">
        <v>51</v>
      </c>
      <c r="H167">
        <v>36668.180313255201</v>
      </c>
    </row>
    <row r="168" spans="1:8" hidden="1" x14ac:dyDescent="0.3">
      <c r="A168">
        <v>17.509958413433601</v>
      </c>
      <c r="B168" t="s">
        <v>137</v>
      </c>
      <c r="C168">
        <v>79.227968777130698</v>
      </c>
      <c r="D168" t="b">
        <v>1</v>
      </c>
      <c r="E168" t="s">
        <v>138</v>
      </c>
      <c r="H168">
        <v>18789.2614993641</v>
      </c>
    </row>
    <row r="169" spans="1:8" hidden="1" x14ac:dyDescent="0.3">
      <c r="A169">
        <v>17.572997416703501</v>
      </c>
      <c r="B169" t="s">
        <v>137</v>
      </c>
      <c r="C169">
        <v>81.0582416444757</v>
      </c>
      <c r="D169" t="b">
        <v>1</v>
      </c>
      <c r="E169" t="s">
        <v>138</v>
      </c>
      <c r="H169">
        <v>25231.3539607046</v>
      </c>
    </row>
    <row r="170" spans="1:8" hidden="1" x14ac:dyDescent="0.3">
      <c r="A170">
        <v>17.646850969481601</v>
      </c>
      <c r="B170" t="s">
        <v>234</v>
      </c>
      <c r="C170">
        <v>75.830613054890193</v>
      </c>
      <c r="D170" t="b">
        <v>1</v>
      </c>
      <c r="E170" t="s">
        <v>235</v>
      </c>
      <c r="H170">
        <v>12313.302517874999</v>
      </c>
    </row>
    <row r="171" spans="1:8" x14ac:dyDescent="0.3">
      <c r="A171">
        <v>18.0140340784221</v>
      </c>
      <c r="B171" t="s">
        <v>50</v>
      </c>
      <c r="C171">
        <v>88.848454990420706</v>
      </c>
      <c r="D171" t="b">
        <v>1</v>
      </c>
      <c r="E171" t="s">
        <v>51</v>
      </c>
      <c r="H171">
        <v>120310.65743459899</v>
      </c>
    </row>
    <row r="172" spans="1:8" hidden="1" x14ac:dyDescent="0.3">
      <c r="A172">
        <v>18.187472053170001</v>
      </c>
      <c r="B172" t="s">
        <v>135</v>
      </c>
      <c r="C172">
        <v>80.665879896190503</v>
      </c>
      <c r="D172" t="b">
        <v>1</v>
      </c>
      <c r="E172" t="s">
        <v>136</v>
      </c>
      <c r="H172">
        <v>33774.877500791401</v>
      </c>
    </row>
    <row r="173" spans="1:8" hidden="1" x14ac:dyDescent="0.3">
      <c r="A173">
        <v>18.389159236756001</v>
      </c>
      <c r="B173" t="s">
        <v>195</v>
      </c>
      <c r="C173">
        <v>76.477574428347594</v>
      </c>
      <c r="D173" t="b">
        <v>1</v>
      </c>
      <c r="E173" t="s">
        <v>61</v>
      </c>
      <c r="H173">
        <v>16949.220953733598</v>
      </c>
    </row>
    <row r="174" spans="1:8" hidden="1" x14ac:dyDescent="0.3">
      <c r="A174">
        <v>18.557818392862998</v>
      </c>
      <c r="B174" t="s">
        <v>111</v>
      </c>
      <c r="C174">
        <v>91.4008299054465</v>
      </c>
      <c r="D174" t="b">
        <v>1</v>
      </c>
      <c r="E174" t="s">
        <v>112</v>
      </c>
      <c r="H174">
        <v>48825.957611390302</v>
      </c>
    </row>
    <row r="175" spans="1:8" hidden="1" x14ac:dyDescent="0.3">
      <c r="A175">
        <v>18.703178277947298</v>
      </c>
      <c r="B175" t="s">
        <v>254</v>
      </c>
      <c r="C175">
        <v>81.270160587714201</v>
      </c>
      <c r="D175" t="b">
        <v>1</v>
      </c>
      <c r="E175" t="s">
        <v>255</v>
      </c>
      <c r="H175">
        <v>10948.6754408046</v>
      </c>
    </row>
    <row r="176" spans="1:8" hidden="1" x14ac:dyDescent="0.3">
      <c r="A176">
        <v>18.790684130648501</v>
      </c>
      <c r="B176" t="s">
        <v>117</v>
      </c>
      <c r="C176">
        <v>70.047855590456095</v>
      </c>
      <c r="D176" t="b">
        <v>1</v>
      </c>
      <c r="E176" t="s">
        <v>118</v>
      </c>
      <c r="H176">
        <v>47783.047712384403</v>
      </c>
    </row>
    <row r="177" spans="1:8" hidden="1" x14ac:dyDescent="0.3">
      <c r="A177">
        <v>19.012478506301299</v>
      </c>
      <c r="B177" t="s">
        <v>254</v>
      </c>
      <c r="C177">
        <v>82.229300427187894</v>
      </c>
      <c r="D177" t="b">
        <v>1</v>
      </c>
      <c r="E177" t="s">
        <v>255</v>
      </c>
      <c r="H177">
        <v>3860.8044378479599</v>
      </c>
    </row>
    <row r="178" spans="1:8" hidden="1" x14ac:dyDescent="0.3">
      <c r="A178">
        <v>19.039036337118599</v>
      </c>
      <c r="B178" t="s">
        <v>143</v>
      </c>
      <c r="C178">
        <v>75.551320034241598</v>
      </c>
      <c r="D178" t="b">
        <v>1</v>
      </c>
      <c r="E178" t="s">
        <v>144</v>
      </c>
      <c r="H178">
        <v>29744.822501987899</v>
      </c>
    </row>
    <row r="179" spans="1:8" hidden="1" x14ac:dyDescent="0.3">
      <c r="A179">
        <v>19.1455072754427</v>
      </c>
      <c r="B179" t="s">
        <v>189</v>
      </c>
      <c r="C179">
        <v>72.808943869243194</v>
      </c>
      <c r="D179" t="b">
        <v>1</v>
      </c>
      <c r="E179" t="s">
        <v>190</v>
      </c>
      <c r="H179">
        <v>18051.7034934365</v>
      </c>
    </row>
    <row r="180" spans="1:8" hidden="1" x14ac:dyDescent="0.3">
      <c r="A180">
        <v>19.219618225602598</v>
      </c>
      <c r="B180" t="s">
        <v>275</v>
      </c>
      <c r="C180">
        <v>81.914207468517404</v>
      </c>
      <c r="D180" t="b">
        <v>1</v>
      </c>
      <c r="E180" t="s">
        <v>276</v>
      </c>
      <c r="H180">
        <v>7214.8745626897899</v>
      </c>
    </row>
    <row r="181" spans="1:8" hidden="1" x14ac:dyDescent="0.3">
      <c r="A181">
        <v>19.987100844344901</v>
      </c>
      <c r="B181" t="s">
        <v>301</v>
      </c>
      <c r="C181">
        <v>76.555512764520998</v>
      </c>
      <c r="D181" t="b">
        <v>1</v>
      </c>
      <c r="E181" t="s">
        <v>302</v>
      </c>
      <c r="H181">
        <v>2466.48553472187</v>
      </c>
    </row>
    <row r="182" spans="1:8" hidden="1" x14ac:dyDescent="0.3">
      <c r="A182">
        <v>20.286675565976999</v>
      </c>
      <c r="B182" t="s">
        <v>78</v>
      </c>
      <c r="C182">
        <v>87.718245578739001</v>
      </c>
      <c r="D182" t="b">
        <v>1</v>
      </c>
      <c r="E182" t="s">
        <v>79</v>
      </c>
      <c r="H182">
        <v>79197.504832926104</v>
      </c>
    </row>
    <row r="183" spans="1:8" hidden="1" x14ac:dyDescent="0.3">
      <c r="A183">
        <v>20.492651325465999</v>
      </c>
      <c r="B183" t="s">
        <v>270</v>
      </c>
      <c r="C183">
        <v>74.054479919059602</v>
      </c>
      <c r="D183" t="b">
        <v>1</v>
      </c>
      <c r="E183" t="s">
        <v>271</v>
      </c>
      <c r="H183">
        <v>8077.3470785643804</v>
      </c>
    </row>
    <row r="184" spans="1:8" hidden="1" x14ac:dyDescent="0.3">
      <c r="A184">
        <v>20.6217099453293</v>
      </c>
      <c r="B184" t="s">
        <v>107</v>
      </c>
      <c r="C184">
        <v>92.165932300632207</v>
      </c>
      <c r="D184" t="b">
        <v>1</v>
      </c>
      <c r="E184" t="s">
        <v>108</v>
      </c>
      <c r="H184">
        <v>52295.123441220399</v>
      </c>
    </row>
    <row r="185" spans="1:8" hidden="1" x14ac:dyDescent="0.3">
      <c r="A185">
        <v>22.306283069616899</v>
      </c>
      <c r="B185" t="s">
        <v>232</v>
      </c>
      <c r="C185">
        <v>77.477687882478605</v>
      </c>
      <c r="D185" t="b">
        <v>1</v>
      </c>
      <c r="E185" t="s">
        <v>233</v>
      </c>
      <c r="H185">
        <v>12354.8739780657</v>
      </c>
    </row>
    <row r="186" spans="1:8" hidden="1" x14ac:dyDescent="0.3">
      <c r="A186">
        <v>22.332339885791001</v>
      </c>
      <c r="B186" t="s">
        <v>299</v>
      </c>
      <c r="C186">
        <v>76.466868090728198</v>
      </c>
      <c r="D186" t="b">
        <v>1</v>
      </c>
      <c r="E186" t="s">
        <v>300</v>
      </c>
      <c r="H186">
        <v>2838.4844471817401</v>
      </c>
    </row>
    <row r="187" spans="1:8" hidden="1" x14ac:dyDescent="0.3">
      <c r="A187">
        <v>22.395553346362199</v>
      </c>
      <c r="B187" t="s">
        <v>251</v>
      </c>
      <c r="C187">
        <v>71.251345445126901</v>
      </c>
      <c r="D187" t="b">
        <v>1</v>
      </c>
      <c r="E187" t="s">
        <v>252</v>
      </c>
      <c r="H187">
        <v>11316.5424388093</v>
      </c>
    </row>
    <row r="188" spans="1:8" hidden="1" x14ac:dyDescent="0.3">
      <c r="A188">
        <v>22.802954475199599</v>
      </c>
      <c r="B188" t="s">
        <v>213</v>
      </c>
      <c r="C188">
        <v>79.813639162276303</v>
      </c>
      <c r="D188" t="b">
        <v>1</v>
      </c>
      <c r="E188" t="s">
        <v>214</v>
      </c>
      <c r="H188">
        <v>14686.690376365401</v>
      </c>
    </row>
    <row r="189" spans="1:8" hidden="1" x14ac:dyDescent="0.3">
      <c r="A189">
        <v>23.653009082440899</v>
      </c>
      <c r="B189" t="s">
        <v>76</v>
      </c>
      <c r="C189">
        <v>78.224165339802198</v>
      </c>
      <c r="D189" t="b">
        <v>1</v>
      </c>
      <c r="E189" t="s">
        <v>77</v>
      </c>
      <c r="H189">
        <v>79823.199970504793</v>
      </c>
    </row>
    <row r="190" spans="1:8" hidden="1" x14ac:dyDescent="0.3">
      <c r="A190">
        <v>23.6782184406403</v>
      </c>
      <c r="B190" t="s">
        <v>295</v>
      </c>
      <c r="C190">
        <v>80.895151753186099</v>
      </c>
      <c r="D190" t="b">
        <v>1</v>
      </c>
      <c r="E190" t="s">
        <v>296</v>
      </c>
      <c r="H190">
        <v>3253.0174042528201</v>
      </c>
    </row>
    <row r="191" spans="1:8" hidden="1" x14ac:dyDescent="0.3">
      <c r="A191">
        <v>24.5012531647461</v>
      </c>
      <c r="B191" t="s">
        <v>246</v>
      </c>
      <c r="C191">
        <v>73.140480961173793</v>
      </c>
      <c r="D191" t="b">
        <v>1</v>
      </c>
      <c r="E191" t="s">
        <v>247</v>
      </c>
      <c r="H191">
        <v>11859.7164547132</v>
      </c>
    </row>
    <row r="192" spans="1:8" hidden="1" x14ac:dyDescent="0.3">
      <c r="A192">
        <v>26.4944756305526</v>
      </c>
      <c r="B192" t="s">
        <v>272</v>
      </c>
      <c r="C192">
        <v>71.134471476233998</v>
      </c>
      <c r="D192" t="b">
        <v>1</v>
      </c>
      <c r="E192" t="s">
        <v>273</v>
      </c>
      <c r="H192">
        <v>7861.1498279342504</v>
      </c>
    </row>
    <row r="193" spans="1:8" hidden="1" x14ac:dyDescent="0.3">
      <c r="A193">
        <v>26.849380013378202</v>
      </c>
      <c r="B193" t="s">
        <v>182</v>
      </c>
      <c r="C193">
        <v>70.378187236064804</v>
      </c>
      <c r="D193" t="b">
        <v>1</v>
      </c>
      <c r="E193" t="s">
        <v>183</v>
      </c>
      <c r="H193">
        <v>18820.969408996702</v>
      </c>
    </row>
    <row r="194" spans="1:8" hidden="1" x14ac:dyDescent="0.3">
      <c r="A194">
        <v>27.478725172400001</v>
      </c>
      <c r="B194" t="s">
        <v>249</v>
      </c>
      <c r="C194">
        <v>71.322250656912004</v>
      </c>
      <c r="D194" t="b">
        <v>1</v>
      </c>
      <c r="E194" t="s">
        <v>250</v>
      </c>
      <c r="H194">
        <v>11503.3210169373</v>
      </c>
    </row>
    <row r="195" spans="1:8" hidden="1" x14ac:dyDescent="0.3">
      <c r="A195">
        <v>33.450761383051898</v>
      </c>
      <c r="B195" t="s">
        <v>303</v>
      </c>
      <c r="C195">
        <v>73.076063187723406</v>
      </c>
      <c r="D195" t="b">
        <v>1</v>
      </c>
      <c r="E195" t="s">
        <v>304</v>
      </c>
      <c r="H195">
        <v>2045.3459649123099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260930 raw 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Kong</cp:lastModifiedBy>
  <dcterms:created xsi:type="dcterms:W3CDTF">2026-10-05T08:51:57Z</dcterms:created>
  <dcterms:modified xsi:type="dcterms:W3CDTF">2026-10-07T18:53:48Z</dcterms:modified>
</cp:coreProperties>
</file>