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cuments\GitHub\Notes\Documents\"/>
    </mc:Choice>
  </mc:AlternateContent>
  <xr:revisionPtr revIDLastSave="0" documentId="13_ncr:1_{0C3DEE1E-D96C-4669-8D4C-238BAFF7E5D2}" xr6:coauthVersionLast="47" xr6:coauthVersionMax="47" xr10:uidLastSave="{00000000-0000-0000-0000-000000000000}"/>
  <bookViews>
    <workbookView xWindow="-108" yWindow="-108" windowWidth="23256" windowHeight="12456" activeTab="3" xr2:uid="{728213C1-C093-409C-B4D6-F01E41861AE3}"/>
  </bookViews>
  <sheets>
    <sheet name="calib" sheetId="1" r:id="rId1"/>
    <sheet name="mfo2" sheetId="2" r:id="rId2"/>
    <sheet name="mfo2 dup" sheetId="3" r:id="rId3"/>
    <sheet name="Blank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" i="3" l="1"/>
  <c r="G15" i="2"/>
  <c r="F15" i="2"/>
  <c r="E15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" i="2"/>
  <c r="G4" i="1"/>
</calcChain>
</file>

<file path=xl/sharedStrings.xml><?xml version="1.0" encoding="utf-8"?>
<sst xmlns="http://schemas.openxmlformats.org/spreadsheetml/2006/main" count="24" uniqueCount="14">
  <si>
    <t>V</t>
  </si>
  <si>
    <t>U</t>
  </si>
  <si>
    <t>C</t>
  </si>
  <si>
    <t>g</t>
  </si>
  <si>
    <t>KHP</t>
  </si>
  <si>
    <t>TAN</t>
  </si>
  <si>
    <t>mfo2</t>
  </si>
  <si>
    <t>150mL solv</t>
  </si>
  <si>
    <t>M</t>
  </si>
  <si>
    <t>titrant conc</t>
  </si>
  <si>
    <t>MFO2</t>
  </si>
  <si>
    <t>roughly 100mL</t>
  </si>
  <si>
    <t>g solvent</t>
  </si>
  <si>
    <t>Conclusion is *basically not useful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</si>
</sst>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U/V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'mfo2'!$A$2:$A$30</c:f>
              <c:numCache>
                <c:formatCode>General</c:formatCode>
                <c:ptCount val="29"/>
                <c:pt idx="0">
                  <c:v>28.998000000000001</c:v>
                </c:pt>
                <c:pt idx="1">
                  <c:v>29.707999999999998</c:v>
                </c:pt>
                <c:pt idx="2">
                  <c:v>30.425999999999998</c:v>
                </c:pt>
                <c:pt idx="3">
                  <c:v>31.128</c:v>
                </c:pt>
                <c:pt idx="4">
                  <c:v>31.832000000000001</c:v>
                </c:pt>
                <c:pt idx="5">
                  <c:v>32.527999999999999</c:v>
                </c:pt>
                <c:pt idx="6">
                  <c:v>33.216000000000001</c:v>
                </c:pt>
                <c:pt idx="7">
                  <c:v>33.892000000000003</c:v>
                </c:pt>
                <c:pt idx="8">
                  <c:v>34.57</c:v>
                </c:pt>
                <c:pt idx="9">
                  <c:v>35.234000000000002</c:v>
                </c:pt>
                <c:pt idx="10">
                  <c:v>35.892000000000003</c:v>
                </c:pt>
                <c:pt idx="11">
                  <c:v>36.545999999999999</c:v>
                </c:pt>
                <c:pt idx="12">
                  <c:v>37.192</c:v>
                </c:pt>
                <c:pt idx="13">
                  <c:v>37.834000000000003</c:v>
                </c:pt>
                <c:pt idx="14">
                  <c:v>38.478000000000002</c:v>
                </c:pt>
                <c:pt idx="15">
                  <c:v>39.119999999999997</c:v>
                </c:pt>
                <c:pt idx="16">
                  <c:v>39.768000000000001</c:v>
                </c:pt>
                <c:pt idx="17">
                  <c:v>40.415999999999997</c:v>
                </c:pt>
                <c:pt idx="18">
                  <c:v>41.194000000000003</c:v>
                </c:pt>
                <c:pt idx="19">
                  <c:v>41.853999999999999</c:v>
                </c:pt>
                <c:pt idx="20">
                  <c:v>42.515999999999998</c:v>
                </c:pt>
                <c:pt idx="21">
                  <c:v>43.186</c:v>
                </c:pt>
                <c:pt idx="22">
                  <c:v>43.862000000000002</c:v>
                </c:pt>
                <c:pt idx="23">
                  <c:v>44.545999999999999</c:v>
                </c:pt>
                <c:pt idx="24">
                  <c:v>45.238</c:v>
                </c:pt>
                <c:pt idx="25">
                  <c:v>45.936</c:v>
                </c:pt>
                <c:pt idx="26">
                  <c:v>46.643999999999998</c:v>
                </c:pt>
                <c:pt idx="27">
                  <c:v>47.353999999999999</c:v>
                </c:pt>
                <c:pt idx="28">
                  <c:v>48.07</c:v>
                </c:pt>
              </c:numCache>
            </c:numRef>
          </c:xVal>
          <c:yVal>
            <c:numRef>
              <c:f>'mfo2'!$B$2:$B$30</c:f>
              <c:numCache>
                <c:formatCode>General</c:formatCode>
                <c:ptCount val="29"/>
                <c:pt idx="0">
                  <c:v>-23</c:v>
                </c:pt>
                <c:pt idx="1">
                  <c:v>-25.3</c:v>
                </c:pt>
                <c:pt idx="2">
                  <c:v>-28</c:v>
                </c:pt>
                <c:pt idx="3">
                  <c:v>-30.6</c:v>
                </c:pt>
                <c:pt idx="4">
                  <c:v>-33.4</c:v>
                </c:pt>
                <c:pt idx="5">
                  <c:v>-36.4</c:v>
                </c:pt>
                <c:pt idx="6">
                  <c:v>-39.700000000000003</c:v>
                </c:pt>
                <c:pt idx="7">
                  <c:v>-42.9</c:v>
                </c:pt>
                <c:pt idx="8">
                  <c:v>-46.4</c:v>
                </c:pt>
                <c:pt idx="9">
                  <c:v>-50</c:v>
                </c:pt>
                <c:pt idx="10">
                  <c:v>-53.7</c:v>
                </c:pt>
                <c:pt idx="11">
                  <c:v>-57.6</c:v>
                </c:pt>
                <c:pt idx="12">
                  <c:v>-61.6</c:v>
                </c:pt>
                <c:pt idx="13">
                  <c:v>-65.5</c:v>
                </c:pt>
                <c:pt idx="14">
                  <c:v>-69.5</c:v>
                </c:pt>
                <c:pt idx="15">
                  <c:v>-73.2</c:v>
                </c:pt>
                <c:pt idx="16">
                  <c:v>-77.099999999999994</c:v>
                </c:pt>
                <c:pt idx="17">
                  <c:v>-78</c:v>
                </c:pt>
                <c:pt idx="18">
                  <c:v>-82.2</c:v>
                </c:pt>
                <c:pt idx="19">
                  <c:v>-85.7</c:v>
                </c:pt>
                <c:pt idx="20">
                  <c:v>-89</c:v>
                </c:pt>
                <c:pt idx="21">
                  <c:v>-92.2</c:v>
                </c:pt>
                <c:pt idx="22">
                  <c:v>-95.5</c:v>
                </c:pt>
                <c:pt idx="23">
                  <c:v>-98.1</c:v>
                </c:pt>
                <c:pt idx="24">
                  <c:v>-100.8</c:v>
                </c:pt>
                <c:pt idx="25">
                  <c:v>-103.4</c:v>
                </c:pt>
                <c:pt idx="26">
                  <c:v>-105.9</c:v>
                </c:pt>
                <c:pt idx="27">
                  <c:v>-108.3</c:v>
                </c:pt>
                <c:pt idx="28">
                  <c:v>-110.5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0F-4D97-87D6-E7811D252952}"/>
            </c:ext>
          </c:extLst>
        </c:ser>
        <c:ser>
          <c:idx val="1"/>
          <c:order val="1"/>
          <c:tx>
            <c:v>eq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'mfo2'!$E$15</c:f>
              <c:numCache>
                <c:formatCode>General</c:formatCode>
                <c:ptCount val="1"/>
                <c:pt idx="0">
                  <c:v>38.156000000000006</c:v>
                </c:pt>
              </c:numCache>
            </c:numRef>
          </c:xVal>
          <c:yVal>
            <c:numRef>
              <c:f>'mfo2'!$F$15</c:f>
              <c:numCache>
                <c:formatCode>General</c:formatCode>
                <c:ptCount val="1"/>
                <c:pt idx="0">
                  <c:v>-67.5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E0F-4D97-87D6-E7811D252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3295279"/>
        <c:axId val="1079144591"/>
      </c:scatterChart>
      <c:valAx>
        <c:axId val="1083295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144591"/>
        <c:crosses val="autoZero"/>
        <c:crossBetween val="midCat"/>
      </c:valAx>
      <c:valAx>
        <c:axId val="107914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295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dU/dV over 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'mfo2'!$A$3:$A$30</c:f>
              <c:numCache>
                <c:formatCode>General</c:formatCode>
                <c:ptCount val="28"/>
                <c:pt idx="0">
                  <c:v>29.707999999999998</c:v>
                </c:pt>
                <c:pt idx="1">
                  <c:v>30.425999999999998</c:v>
                </c:pt>
                <c:pt idx="2">
                  <c:v>31.128</c:v>
                </c:pt>
                <c:pt idx="3">
                  <c:v>31.832000000000001</c:v>
                </c:pt>
                <c:pt idx="4">
                  <c:v>32.527999999999999</c:v>
                </c:pt>
                <c:pt idx="5">
                  <c:v>33.216000000000001</c:v>
                </c:pt>
                <c:pt idx="6">
                  <c:v>33.892000000000003</c:v>
                </c:pt>
                <c:pt idx="7">
                  <c:v>34.57</c:v>
                </c:pt>
                <c:pt idx="8">
                  <c:v>35.234000000000002</c:v>
                </c:pt>
                <c:pt idx="9">
                  <c:v>35.892000000000003</c:v>
                </c:pt>
                <c:pt idx="10">
                  <c:v>36.545999999999999</c:v>
                </c:pt>
                <c:pt idx="11">
                  <c:v>37.192</c:v>
                </c:pt>
                <c:pt idx="12">
                  <c:v>37.834000000000003</c:v>
                </c:pt>
                <c:pt idx="13">
                  <c:v>38.478000000000002</c:v>
                </c:pt>
                <c:pt idx="14">
                  <c:v>39.119999999999997</c:v>
                </c:pt>
                <c:pt idx="15">
                  <c:v>39.768000000000001</c:v>
                </c:pt>
                <c:pt idx="16">
                  <c:v>40.415999999999997</c:v>
                </c:pt>
                <c:pt idx="17">
                  <c:v>41.194000000000003</c:v>
                </c:pt>
                <c:pt idx="18">
                  <c:v>41.853999999999999</c:v>
                </c:pt>
                <c:pt idx="19">
                  <c:v>42.515999999999998</c:v>
                </c:pt>
                <c:pt idx="20">
                  <c:v>43.186</c:v>
                </c:pt>
                <c:pt idx="21">
                  <c:v>43.862000000000002</c:v>
                </c:pt>
                <c:pt idx="22">
                  <c:v>44.545999999999999</c:v>
                </c:pt>
                <c:pt idx="23">
                  <c:v>45.238</c:v>
                </c:pt>
                <c:pt idx="24">
                  <c:v>45.936</c:v>
                </c:pt>
                <c:pt idx="25">
                  <c:v>46.643999999999998</c:v>
                </c:pt>
                <c:pt idx="26">
                  <c:v>47.353999999999999</c:v>
                </c:pt>
                <c:pt idx="27">
                  <c:v>48.07</c:v>
                </c:pt>
              </c:numCache>
            </c:numRef>
          </c:xVal>
          <c:yVal>
            <c:numRef>
              <c:f>'mfo2'!$C$3:$C$30</c:f>
              <c:numCache>
                <c:formatCode>General</c:formatCode>
                <c:ptCount val="28"/>
                <c:pt idx="0">
                  <c:v>-3.2394366197183233</c:v>
                </c:pt>
                <c:pt idx="1">
                  <c:v>-3.7604456824512527</c:v>
                </c:pt>
                <c:pt idx="2">
                  <c:v>-3.7037037037036966</c:v>
                </c:pt>
                <c:pt idx="3">
                  <c:v>-3.9772727272727195</c:v>
                </c:pt>
                <c:pt idx="4">
                  <c:v>-4.3103448275862197</c:v>
                </c:pt>
                <c:pt idx="5">
                  <c:v>-4.7965116279069662</c:v>
                </c:pt>
                <c:pt idx="6">
                  <c:v>-4.7337278106508673</c:v>
                </c:pt>
                <c:pt idx="7">
                  <c:v>-5.1622418879056253</c:v>
                </c:pt>
                <c:pt idx="8">
                  <c:v>-5.421686746987942</c:v>
                </c:pt>
                <c:pt idx="9">
                  <c:v>-5.6231003039513618</c:v>
                </c:pt>
                <c:pt idx="10">
                  <c:v>-5.9633027522936093</c:v>
                </c:pt>
                <c:pt idx="11">
                  <c:v>-6.1919504643962773</c:v>
                </c:pt>
                <c:pt idx="12">
                  <c:v>-6.0747663551401558</c:v>
                </c:pt>
                <c:pt idx="13">
                  <c:v>-6.2111801242236186</c:v>
                </c:pt>
                <c:pt idx="14">
                  <c:v>-5.7632398753894494</c:v>
                </c:pt>
                <c:pt idx="15">
                  <c:v>-6.0185185185184755</c:v>
                </c:pt>
                <c:pt idx="16">
                  <c:v>-1.3888888888889059</c:v>
                </c:pt>
                <c:pt idx="17">
                  <c:v>-5.398457583547521</c:v>
                </c:pt>
                <c:pt idx="18">
                  <c:v>-5.3030303030303303</c:v>
                </c:pt>
                <c:pt idx="19">
                  <c:v>-4.9848942598187342</c:v>
                </c:pt>
                <c:pt idx="20">
                  <c:v>-4.7761194029850671</c:v>
                </c:pt>
                <c:pt idx="21">
                  <c:v>-4.8816568047337094</c:v>
                </c:pt>
                <c:pt idx="22">
                  <c:v>-3.8011695906432803</c:v>
                </c:pt>
                <c:pt idx="23">
                  <c:v>-3.9017341040462461</c:v>
                </c:pt>
                <c:pt idx="24">
                  <c:v>-3.7249283667621875</c:v>
                </c:pt>
                <c:pt idx="25">
                  <c:v>-3.5310734463276914</c:v>
                </c:pt>
                <c:pt idx="26">
                  <c:v>-3.380281690140829</c:v>
                </c:pt>
                <c:pt idx="27">
                  <c:v>-3.0726256983240217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B1-4C36-A9CD-7085C02F6E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1368767"/>
        <c:axId val="1079241071"/>
      </c:scatterChart>
      <c:valAx>
        <c:axId val="1231368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241071"/>
        <c:crosses val="autoZero"/>
        <c:crossBetween val="midCat"/>
      </c:valAx>
      <c:valAx>
        <c:axId val="107924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368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563880</xdr:colOff>
      <xdr:row>3</xdr:row>
      <xdr:rowOff>163830</xdr:rowOff>
    </xdr:from>
    <xdr:to>
      <xdr:col>17</xdr:col>
      <xdr:colOff>259080</xdr:colOff>
      <xdr:row>18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0EDA25-FB16-BE83-A4E7-B5EACC2E3E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198120</xdr:colOff>
      <xdr:row>5</xdr:row>
      <xdr:rowOff>95250</xdr:rowOff>
    </xdr:from>
    <xdr:to>
      <xdr:col>23</xdr:col>
      <xdr:colOff>502920</xdr:colOff>
      <xdr:row>20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689134-9345-6622-84B9-EC5C3D6F8B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336CF-DAFB-4EB9-9DF4-EE53A74A0434}">
  <dimension ref="E1:G4"/>
  <sheetViews>
    <sheetView workbookViewId="0">
      <selection activeCell="G4" sqref="G4"/>
    </sheetView>
  </sheetViews>
  <sheetFormatPr defaultRowHeight="14.4" x14ac:dyDescent="0.3"/>
  <sheetData>
    <row r="1" spans="5:7" x14ac:dyDescent="0.3">
      <c r="E1">
        <v>5.4600000000000003E-2</v>
      </c>
      <c r="F1" t="s">
        <v>3</v>
      </c>
      <c r="G1" t="s">
        <v>4</v>
      </c>
    </row>
    <row r="3" spans="5:7" x14ac:dyDescent="0.3">
      <c r="E3" t="s">
        <v>0</v>
      </c>
      <c r="F3" t="s">
        <v>1</v>
      </c>
      <c r="G3" t="s">
        <v>2</v>
      </c>
    </row>
    <row r="4" spans="5:7" x14ac:dyDescent="0.3">
      <c r="E4">
        <v>35.020899999999997</v>
      </c>
      <c r="F4">
        <v>-106.8</v>
      </c>
      <c r="G4">
        <f>E1/E4/0.20422</f>
        <v>7.6342621343406603E-3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92FA4-4C1F-46AA-B553-C2D5E2D23CEE}">
  <dimension ref="A1:H30"/>
  <sheetViews>
    <sheetView workbookViewId="0">
      <selection activeCell="G16" sqref="G1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E1">
        <v>8.8427000000000007</v>
      </c>
      <c r="F1" t="s">
        <v>3</v>
      </c>
      <c r="G1" t="s">
        <v>6</v>
      </c>
      <c r="H1" t="s">
        <v>7</v>
      </c>
    </row>
    <row r="2" spans="1:8" x14ac:dyDescent="0.3">
      <c r="A2">
        <v>28.998000000000001</v>
      </c>
      <c r="B2">
        <v>-23</v>
      </c>
      <c r="E2">
        <v>7.6342621343406603E-3</v>
      </c>
      <c r="F2" t="s">
        <v>8</v>
      </c>
      <c r="G2" t="s">
        <v>9</v>
      </c>
    </row>
    <row r="3" spans="1:8" x14ac:dyDescent="0.3">
      <c r="A3">
        <v>29.707999999999998</v>
      </c>
      <c r="B3">
        <v>-25.3</v>
      </c>
      <c r="C3">
        <f>(B3-B2)/(A3-A2)</f>
        <v>-3.2394366197183233</v>
      </c>
    </row>
    <row r="4" spans="1:8" x14ac:dyDescent="0.3">
      <c r="A4">
        <v>30.425999999999998</v>
      </c>
      <c r="B4">
        <v>-28</v>
      </c>
      <c r="C4">
        <f t="shared" ref="C4:C30" si="0">(B4-B3)/(A4-A3)</f>
        <v>-3.7604456824512527</v>
      </c>
    </row>
    <row r="5" spans="1:8" x14ac:dyDescent="0.3">
      <c r="A5">
        <v>31.128</v>
      </c>
      <c r="B5">
        <v>-30.6</v>
      </c>
      <c r="C5">
        <f t="shared" si="0"/>
        <v>-3.7037037037036966</v>
      </c>
    </row>
    <row r="6" spans="1:8" x14ac:dyDescent="0.3">
      <c r="A6">
        <v>31.832000000000001</v>
      </c>
      <c r="B6">
        <v>-33.4</v>
      </c>
      <c r="C6">
        <f t="shared" si="0"/>
        <v>-3.9772727272727195</v>
      </c>
    </row>
    <row r="7" spans="1:8" x14ac:dyDescent="0.3">
      <c r="A7">
        <v>32.527999999999999</v>
      </c>
      <c r="B7">
        <v>-36.4</v>
      </c>
      <c r="C7">
        <f t="shared" si="0"/>
        <v>-4.3103448275862197</v>
      </c>
    </row>
    <row r="8" spans="1:8" x14ac:dyDescent="0.3">
      <c r="A8">
        <v>33.216000000000001</v>
      </c>
      <c r="B8">
        <v>-39.700000000000003</v>
      </c>
      <c r="C8">
        <f t="shared" si="0"/>
        <v>-4.7965116279069662</v>
      </c>
    </row>
    <row r="9" spans="1:8" x14ac:dyDescent="0.3">
      <c r="A9">
        <v>33.892000000000003</v>
      </c>
      <c r="B9">
        <v>-42.9</v>
      </c>
      <c r="C9">
        <f t="shared" si="0"/>
        <v>-4.7337278106508673</v>
      </c>
    </row>
    <row r="10" spans="1:8" x14ac:dyDescent="0.3">
      <c r="A10">
        <v>34.57</v>
      </c>
      <c r="B10">
        <v>-46.4</v>
      </c>
      <c r="C10">
        <f t="shared" si="0"/>
        <v>-5.1622418879056253</v>
      </c>
    </row>
    <row r="11" spans="1:8" x14ac:dyDescent="0.3">
      <c r="A11">
        <v>35.234000000000002</v>
      </c>
      <c r="B11">
        <v>-50</v>
      </c>
      <c r="C11">
        <f t="shared" si="0"/>
        <v>-5.421686746987942</v>
      </c>
    </row>
    <row r="12" spans="1:8" x14ac:dyDescent="0.3">
      <c r="A12">
        <v>35.892000000000003</v>
      </c>
      <c r="B12">
        <v>-53.7</v>
      </c>
      <c r="C12">
        <f t="shared" si="0"/>
        <v>-5.6231003039513618</v>
      </c>
    </row>
    <row r="13" spans="1:8" x14ac:dyDescent="0.3">
      <c r="A13">
        <v>36.545999999999999</v>
      </c>
      <c r="B13">
        <v>-57.6</v>
      </c>
      <c r="C13">
        <f t="shared" si="0"/>
        <v>-5.9633027522936093</v>
      </c>
    </row>
    <row r="14" spans="1:8" x14ac:dyDescent="0.3">
      <c r="A14">
        <v>37.192</v>
      </c>
      <c r="B14">
        <v>-61.6</v>
      </c>
      <c r="C14">
        <f t="shared" si="0"/>
        <v>-6.1919504643962773</v>
      </c>
      <c r="E14" t="s">
        <v>0</v>
      </c>
      <c r="F14" t="s">
        <v>1</v>
      </c>
      <c r="G14" t="s">
        <v>5</v>
      </c>
    </row>
    <row r="15" spans="1:8" x14ac:dyDescent="0.3">
      <c r="A15">
        <v>37.834000000000003</v>
      </c>
      <c r="B15">
        <v>-65.5</v>
      </c>
      <c r="C15">
        <f t="shared" si="0"/>
        <v>-6.0747663551401558</v>
      </c>
      <c r="E15">
        <f>AVERAGE(A15:A16)</f>
        <v>38.156000000000006</v>
      </c>
      <c r="F15">
        <f>AVERAGE(B15:B16)</f>
        <v>-67.5</v>
      </c>
      <c r="G15">
        <f>E2*E15*56.11/E1</f>
        <v>1.8483545699325197</v>
      </c>
    </row>
    <row r="16" spans="1:8" x14ac:dyDescent="0.3">
      <c r="A16">
        <v>38.478000000000002</v>
      </c>
      <c r="B16">
        <v>-69.5</v>
      </c>
      <c r="C16" s="1">
        <f t="shared" si="0"/>
        <v>-6.2111801242236186</v>
      </c>
    </row>
    <row r="17" spans="1:3" x14ac:dyDescent="0.3">
      <c r="A17">
        <v>39.119999999999997</v>
      </c>
      <c r="B17">
        <v>-73.2</v>
      </c>
      <c r="C17">
        <f t="shared" si="0"/>
        <v>-5.7632398753894494</v>
      </c>
    </row>
    <row r="18" spans="1:3" x14ac:dyDescent="0.3">
      <c r="A18">
        <v>39.768000000000001</v>
      </c>
      <c r="B18">
        <v>-77.099999999999994</v>
      </c>
      <c r="C18">
        <f t="shared" si="0"/>
        <v>-6.0185185185184755</v>
      </c>
    </row>
    <row r="19" spans="1:3" x14ac:dyDescent="0.3">
      <c r="A19">
        <v>40.415999999999997</v>
      </c>
      <c r="B19">
        <v>-78</v>
      </c>
      <c r="C19">
        <f t="shared" si="0"/>
        <v>-1.3888888888889059</v>
      </c>
    </row>
    <row r="20" spans="1:3" x14ac:dyDescent="0.3">
      <c r="A20">
        <v>41.194000000000003</v>
      </c>
      <c r="B20">
        <v>-82.2</v>
      </c>
      <c r="C20">
        <f t="shared" si="0"/>
        <v>-5.398457583547521</v>
      </c>
    </row>
    <row r="21" spans="1:3" x14ac:dyDescent="0.3">
      <c r="A21">
        <v>41.853999999999999</v>
      </c>
      <c r="B21">
        <v>-85.7</v>
      </c>
      <c r="C21">
        <f t="shared" si="0"/>
        <v>-5.3030303030303303</v>
      </c>
    </row>
    <row r="22" spans="1:3" x14ac:dyDescent="0.3">
      <c r="A22">
        <v>42.515999999999998</v>
      </c>
      <c r="B22">
        <v>-89</v>
      </c>
      <c r="C22">
        <f t="shared" si="0"/>
        <v>-4.9848942598187342</v>
      </c>
    </row>
    <row r="23" spans="1:3" x14ac:dyDescent="0.3">
      <c r="A23">
        <v>43.186</v>
      </c>
      <c r="B23">
        <v>-92.2</v>
      </c>
      <c r="C23">
        <f t="shared" si="0"/>
        <v>-4.7761194029850671</v>
      </c>
    </row>
    <row r="24" spans="1:3" x14ac:dyDescent="0.3">
      <c r="A24">
        <v>43.862000000000002</v>
      </c>
      <c r="B24">
        <v>-95.5</v>
      </c>
      <c r="C24">
        <f t="shared" si="0"/>
        <v>-4.8816568047337094</v>
      </c>
    </row>
    <row r="25" spans="1:3" x14ac:dyDescent="0.3">
      <c r="A25">
        <v>44.545999999999999</v>
      </c>
      <c r="B25">
        <v>-98.1</v>
      </c>
      <c r="C25">
        <f t="shared" si="0"/>
        <v>-3.8011695906432803</v>
      </c>
    </row>
    <row r="26" spans="1:3" x14ac:dyDescent="0.3">
      <c r="A26">
        <v>45.238</v>
      </c>
      <c r="B26">
        <v>-100.8</v>
      </c>
      <c r="C26">
        <f t="shared" si="0"/>
        <v>-3.9017341040462461</v>
      </c>
    </row>
    <row r="27" spans="1:3" x14ac:dyDescent="0.3">
      <c r="A27">
        <v>45.936</v>
      </c>
      <c r="B27">
        <v>-103.4</v>
      </c>
      <c r="C27">
        <f t="shared" si="0"/>
        <v>-3.7249283667621875</v>
      </c>
    </row>
    <row r="28" spans="1:3" x14ac:dyDescent="0.3">
      <c r="A28">
        <v>46.643999999999998</v>
      </c>
      <c r="B28">
        <v>-105.9</v>
      </c>
      <c r="C28">
        <f t="shared" si="0"/>
        <v>-3.5310734463276914</v>
      </c>
    </row>
    <row r="29" spans="1:3" x14ac:dyDescent="0.3">
      <c r="A29">
        <v>47.353999999999999</v>
      </c>
      <c r="B29">
        <v>-108.3</v>
      </c>
      <c r="C29">
        <f t="shared" si="0"/>
        <v>-3.380281690140829</v>
      </c>
    </row>
    <row r="30" spans="1:3" x14ac:dyDescent="0.3">
      <c r="A30">
        <v>48.07</v>
      </c>
      <c r="B30">
        <v>-110.5</v>
      </c>
      <c r="C30">
        <f t="shared" si="0"/>
        <v>-3.0726256983240217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753E5-8A6A-46CF-9895-75C9ACC9CB90}">
  <dimension ref="E1:G6"/>
  <sheetViews>
    <sheetView workbookViewId="0">
      <selection activeCell="G6" sqref="G6"/>
    </sheetView>
  </sheetViews>
  <sheetFormatPr defaultRowHeight="14.4" x14ac:dyDescent="0.3"/>
  <sheetData>
    <row r="1" spans="5:7" x14ac:dyDescent="0.3">
      <c r="E1">
        <v>9.8263999999999996</v>
      </c>
      <c r="F1" t="s">
        <v>3</v>
      </c>
      <c r="G1" t="s">
        <v>10</v>
      </c>
    </row>
    <row r="2" spans="5:7" x14ac:dyDescent="0.3">
      <c r="E2">
        <v>7.6342621343406603E-3</v>
      </c>
      <c r="F2" t="s">
        <v>8</v>
      </c>
      <c r="G2" t="s">
        <v>9</v>
      </c>
    </row>
    <row r="5" spans="5:7" x14ac:dyDescent="0.3">
      <c r="E5" t="s">
        <v>0</v>
      </c>
      <c r="F5" t="s">
        <v>1</v>
      </c>
    </row>
    <row r="6" spans="5:7" x14ac:dyDescent="0.3">
      <c r="E6">
        <v>43.345999999999997</v>
      </c>
      <c r="F6">
        <v>-69.900000000000006</v>
      </c>
      <c r="G6">
        <f>E2*E6*56.11/E1</f>
        <v>1.8895653853414842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067A8-C0FF-4970-BCE7-B65C2E5BF98F}">
  <dimension ref="E1:G2"/>
  <sheetViews>
    <sheetView tabSelected="1" workbookViewId="0">
      <selection activeCell="E3" sqref="E3"/>
    </sheetView>
  </sheetViews>
  <sheetFormatPr defaultRowHeight="14.4" x14ac:dyDescent="0.3"/>
  <sheetData>
    <row r="1" spans="5:7" x14ac:dyDescent="0.3">
      <c r="E1">
        <v>72.378500000000003</v>
      </c>
      <c r="F1" t="s">
        <v>12</v>
      </c>
      <c r="G1" t="s">
        <v>11</v>
      </c>
    </row>
    <row r="2" spans="5:7" x14ac:dyDescent="0.3">
      <c r="E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calib</vt:lpstr>
      <vt:lpstr>mfo2</vt:lpstr>
      <vt:lpstr>mfo2 dup</vt:lpstr>
      <vt:lpstr>Blank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 Kong</dc:creator>
  <cp:lastModifiedBy>Yue Kong</cp:lastModifiedBy>
  <dcterms:created xsi:type="dcterms:W3CDTF">2026-09-15T08:36:41Z</dcterms:created>
  <dcterms:modified xsi:type="dcterms:W3CDTF">2026-09-15T13:37:31Z</dcterms:modified>
</cp:coreProperties>
</file>