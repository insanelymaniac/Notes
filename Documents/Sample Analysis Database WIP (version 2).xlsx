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GitHub\Notes\Documents\"/>
    </mc:Choice>
  </mc:AlternateContent>
  <xr:revisionPtr revIDLastSave="0" documentId="13_ncr:10000001_{622AEBF3-75D4-4DBC-B7E0-FA24C136DC79}" xr6:coauthVersionLast="47" xr6:coauthVersionMax="47" xr10:uidLastSave="{00000000-0000-0000-0000-000000000000}"/>
  <bookViews>
    <workbookView xWindow="-108" yWindow="-108" windowWidth="23256" windowHeight="12456" activeTab="1" xr2:uid="{B14C8359-2D72-4D0D-A66D-D4D5567800CE}"/>
  </bookViews>
  <sheets>
    <sheet name="Sheet1 (2)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5" i="1" l="1" a="1"/>
  <c r="Q15" i="1" a="1"/>
  <c r="L13" i="1"/>
  <c r="K13" i="1"/>
  <c r="I7" i="1"/>
  <c r="H7" i="1"/>
  <c r="I6" i="1"/>
  <c r="H6" i="1"/>
  <c r="N5" i="1"/>
  <c r="M5" i="1"/>
  <c r="E4" i="1"/>
  <c r="D4" i="1"/>
  <c r="K1" i="1"/>
  <c r="J1" i="1"/>
  <c r="E1" i="1"/>
  <c r="D1" i="1"/>
  <c r="R15" i="2" a="1"/>
  <c r="Q15" i="2" a="1"/>
  <c r="L13" i="2"/>
  <c r="K13" i="2"/>
  <c r="I7" i="2"/>
  <c r="H7" i="2"/>
  <c r="I6" i="2"/>
  <c r="H6" i="2"/>
  <c r="N5" i="2"/>
  <c r="M5" i="2"/>
  <c r="E4" i="2"/>
  <c r="D4" i="2"/>
  <c r="K1" i="2"/>
  <c r="J1" i="2"/>
  <c r="E1" i="2"/>
  <c r="D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<sst xmlns="http://schemas.openxmlformats.org/spreadsheetml/2006/main" count="12" uniqueCount="12">
  <si>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68.64 ± 0.04</t>
  </si>
  <si>
    <t>62.69 ± 1.50</t>
  </si>
  <si>
    <t>59.205 ± 1.80</t>
  </si>
  <si>
    <t>55 ± 1.00</t>
  </si>
  <si>
    <t>51 ± 1.00</t>
  </si>
  <si>
    <t>77.65 ± 1.88*</t>
  </si>
  <si>
    <t>76.47 ± 1.89*</t>
  </si>
  <si>
    <t>75.46 ±1.94*</t>
  </si>
  <si>
    <t>75.03 ± 1.68*</t>
  </si>
  <si>
    <t>73.79 ± 1.71</t>
  </si>
  <si>
    <t>67.47 ± 1.36</t>
  </si>
  <si>
    <t>61.30 ± 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</si>
</sst>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rgb="FFFFFFFF"/>
      <name val="Arial"/>
    </font>
    <font>
      <sz val="18"/>
      <color rgb="FF000000"/>
      <name val="Arial"/>
    </font>
    <font>
      <b/>
      <sz val="18"/>
      <color rgb="FFFF0000"/>
      <name val="Arial"/>
    </font>
    <font>
      <sz val="18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 (new method) vs water</a:t>
            </a:r>
            <a:r>
              <a:rPr lang="en-US" baseline="0"/>
              <a:t> loading (wt% wrt oil)</a:t>
            </a:r>
            <a:endParaRPr lang="en-US"/>
          </a:p>
        </c:rich>
      </c:tx>
      <c:layout>
        <c:manualLayout>
          <c:xMode val="edge"/>
          <c:yMode val="edge"/>
          <c:x val="0.23599525149935968"/>
          <c:y val="4.738213693437573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(2)'!$I$20</c:f>
              <c:strCache>
                <c:ptCount val="1"/>
                <c:pt idx="0">
                  <c:v>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349772401638202"/>
                  <c:y val="8.58643464900927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'Sheet1 (2)'!$S$15:$S$21</c:f>
                <c:numCache>
                  <c:formatCode>General</c:formatCode>
                  <c:ptCount val="7"/>
                  <c:pt idx="0">
                    <c:v>1.88</c:v>
                  </c:pt>
                  <c:pt idx="1">
                    <c:v>1.89</c:v>
                  </c:pt>
                  <c:pt idx="2">
                    <c:v>1.94</c:v>
                  </c:pt>
                  <c:pt idx="3">
                    <c:v>1.68</c:v>
                  </c:pt>
                  <c:pt idx="4">
                    <c:v>1.71</c:v>
                  </c:pt>
                  <c:pt idx="5">
                    <c:v>1.36</c:v>
                  </c:pt>
                  <c:pt idx="6">
                    <c:v>0.59</c:v>
                  </c:pt>
                </c:numCache>
              </c:numRef>
            </c:plus>
            <c:minus>
              <c:numRef>
                <c:f>'Sheet1 (2)'!$S$15:$S$21</c:f>
                <c:numCache>
                  <c:formatCode>General</c:formatCode>
                  <c:ptCount val="7"/>
                  <c:pt idx="0">
                    <c:v>1.88</c:v>
                  </c:pt>
                  <c:pt idx="1">
                    <c:v>1.89</c:v>
                  </c:pt>
                  <c:pt idx="2">
                    <c:v>1.94</c:v>
                  </c:pt>
                  <c:pt idx="3">
                    <c:v>1.68</c:v>
                  </c:pt>
                  <c:pt idx="4">
                    <c:v>1.71</c:v>
                  </c:pt>
                  <c:pt idx="5">
                    <c:v>1.36</c:v>
                  </c:pt>
                  <c:pt idx="6">
                    <c:v>0.59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'Sheet1 (2)'!$I$15:$I$21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'Sheet1 (2)'!$J$15:$J$21</c:f>
              <c:numCache>
                <c:formatCode>General</c:formatCode>
                <c:ptCount val="7"/>
                <c:pt idx="0">
                  <c:v>77.650000000000006</c:v>
                </c:pt>
                <c:pt idx="1">
                  <c:v>76.47</c:v>
                </c:pt>
                <c:pt idx="2">
                  <c:v>75.459999999999994</c:v>
                </c:pt>
                <c:pt idx="3">
                  <c:v>75.03</c:v>
                </c:pt>
                <c:pt idx="4">
                  <c:v>73.790000000000006</c:v>
                </c:pt>
                <c:pt idx="5">
                  <c:v>67.47</c:v>
                </c:pt>
                <c:pt idx="6">
                  <c:v>61.3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EF-4112-9270-665E28114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64720"/>
        <c:axId val="2130125839"/>
      </c:scatterChart>
      <c:valAx>
        <c:axId val="210664720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Water loading (wt%</a:t>
                </a:r>
                <a:r>
                  <a:rPr lang="en-IE" baseline="0"/>
                  <a:t> wrt oil)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E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25839"/>
        <c:crosses val="autoZero"/>
        <c:crossBetween val="midCat"/>
        <c:minorUnit val="5"/>
      </c:valAx>
      <c:valAx>
        <c:axId val="2130125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TAN (mg KOH/g</a:t>
                </a:r>
                <a:r>
                  <a:rPr lang="en-IE" baseline="0"/>
                  <a:t> oil)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E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64720"/>
        <c:crosses val="autoZero"/>
        <c:crossBetween val="midCat"/>
        <c:minorUnit val="5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 (old method) vs water</a:t>
            </a:r>
            <a:r>
              <a:rPr lang="en-US" baseline="0"/>
              <a:t> loading (wt% wrt oil)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Sheet1!$I$20</c:f>
              <c:strCache>
                <c:ptCount val="1"/>
                <c:pt idx="0">
                  <c:v>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845550103338535E-2"/>
                  <c:y val="4.34549915788213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Sheet1!$S$15:$S$20</c:f>
                <c:numCache>
                  <c:formatCode>General</c:formatCode>
                  <c:ptCount val="6"/>
                  <c:pt idx="0">
                    <c:v>0.04</c:v>
                  </c:pt>
                  <c:pt idx="1">
                    <c:v>0.57999999999999996</c:v>
                  </c:pt>
                  <c:pt idx="2">
                    <c:v>1.5</c:v>
                  </c:pt>
                  <c:pt idx="3">
                    <c:v>1.8</c:v>
                  </c:pt>
                  <c:pt idx="4">
                    <c:v>1</c:v>
                  </c:pt>
                  <c:pt idx="5">
                    <c:v>1</c:v>
                  </c:pt>
                </c:numCache>
              </c:numRef>
            </c:plus>
            <c:minus>
              <c:numRef>
                <c:f>Sheet1!$S$15:$S$20</c:f>
                <c:numCache>
                  <c:formatCode>General</c:formatCode>
                  <c:ptCount val="6"/>
                  <c:pt idx="0">
                    <c:v>0.04</c:v>
                  </c:pt>
                  <c:pt idx="1">
                    <c:v>0.57999999999999996</c:v>
                  </c:pt>
                  <c:pt idx="2">
                    <c:v>1.5</c:v>
                  </c:pt>
                  <c:pt idx="3">
                    <c:v>1.8</c:v>
                  </c:pt>
                  <c:pt idx="4">
                    <c:v>1</c:v>
                  </c:pt>
                  <c:pt idx="5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Sheet1!$I$15:$I$20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Sheet1!$J$15:$J$20</c:f>
              <c:numCache>
                <c:formatCode>General</c:formatCode>
                <c:ptCount val="6"/>
                <c:pt idx="0">
                  <c:v>68.64</c:v>
                </c:pt>
                <c:pt idx="1">
                  <c:v>66</c:v>
                </c:pt>
                <c:pt idx="2">
                  <c:v>62.69</c:v>
                </c:pt>
                <c:pt idx="3">
                  <c:v>59.204999999999998</c:v>
                </c:pt>
                <c:pt idx="4">
                  <c:v>55</c:v>
                </c:pt>
                <c:pt idx="5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A3A-AAEF-250CA3D4F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64720"/>
        <c:axId val="2130125839"/>
      </c:scatterChart>
      <c:valAx>
        <c:axId val="21066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Water loading (wt%</a:t>
                </a:r>
                <a:r>
                  <a:rPr lang="en-IE" baseline="0"/>
                  <a:t> wrt oil)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E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25839"/>
        <c:crosses val="autoZero"/>
        <c:crossBetween val="midCat"/>
        <c:minorUnit val="5"/>
      </c:valAx>
      <c:valAx>
        <c:axId val="2130125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TAN (mg KOH/g</a:t>
                </a:r>
                <a:r>
                  <a:rPr lang="en-IE" baseline="0"/>
                  <a:t> oil)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E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64720"/>
        <c:crosses val="autoZero"/>
        <c:crossBetween val="midCat"/>
        <c:minorUnit val="5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19</xdr:row>
      <xdr:rowOff>712470</xdr:rowOff>
    </xdr:from>
    <xdr:to>
      <xdr:col>15</xdr:col>
      <xdr:colOff>259080</xdr:colOff>
      <xdr:row>34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6C887-6FB1-4F65-90A5-77BFABA46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16</xdr:row>
      <xdr:rowOff>369570</xdr:rowOff>
    </xdr:from>
    <xdr:to>
      <xdr:col>11</xdr:col>
      <xdr:colOff>220980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3CF14-9303-733C-6982-952017CDE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0121-DE26-4FC8-B2E8-713D9EF23099}">
  <dimension ref="A1:S21"/>
  <sheetViews>
    <sheetView topLeftCell="B20" workbookViewId="0">
      <selection activeCell="Q25" sqref="Q25"/>
    </sheetView>
  </sheetViews>
  <sheetFormatPr defaultRowHeight="14.4" x14ac:dyDescent="0.3"/>
  <sheetData>
    <row r="1" spans="1:19" x14ac:dyDescent="0.3">
      <c r="A1" s="1">
        <v>0</v>
      </c>
      <c r="B1">
        <v>68.602999999999994</v>
      </c>
      <c r="C1">
        <v>68.678669999999997</v>
      </c>
      <c r="D1">
        <f>AVERAGE(B1:C1)</f>
        <v>68.640834999999996</v>
      </c>
      <c r="E1">
        <f>_xlfn.STDEV.P(B1:C1)</f>
        <v>3.7835000000001173E-2</v>
      </c>
      <c r="F1">
        <v>79.39</v>
      </c>
      <c r="G1">
        <v>79.59</v>
      </c>
      <c r="H1">
        <v>76.406999999999996</v>
      </c>
      <c r="I1">
        <v>75.22</v>
      </c>
      <c r="J1">
        <f>AVERAGE(F1:I1)</f>
        <v>77.651749999999993</v>
      </c>
      <c r="K1">
        <f>_xlfn.STDEV.P(F1:I1)</f>
        <v>1.8868715344453122</v>
      </c>
    </row>
    <row r="2" spans="1:19" x14ac:dyDescent="0.3">
      <c r="A2">
        <v>10</v>
      </c>
    </row>
    <row r="3" spans="1:19" x14ac:dyDescent="0.3">
      <c r="A3">
        <v>20</v>
      </c>
    </row>
    <row r="4" spans="1:19" x14ac:dyDescent="0.3">
      <c r="A4">
        <v>30</v>
      </c>
      <c r="B4">
        <v>61.003</v>
      </c>
      <c r="C4">
        <v>57.406999999999996</v>
      </c>
      <c r="D4">
        <f>AVERAGE(B4:C4)</f>
        <v>59.204999999999998</v>
      </c>
      <c r="E4">
        <f>_xlfn.STDEV.P(B4:C4)</f>
        <v>1.7980000000000018</v>
      </c>
    </row>
    <row r="5" spans="1:19" x14ac:dyDescent="0.3">
      <c r="A5">
        <v>40</v>
      </c>
      <c r="F5">
        <v>51.87</v>
      </c>
      <c r="G5">
        <v>52.51</v>
      </c>
      <c r="J5">
        <v>75.580799999999996</v>
      </c>
      <c r="K5">
        <v>71.48</v>
      </c>
      <c r="L5">
        <v>74.319999999999993</v>
      </c>
      <c r="M5">
        <f>AVERAGE(J5:L5)</f>
        <v>73.793599999999998</v>
      </c>
      <c r="N5">
        <f>_xlfn.STDEV.P(J5:L5)</f>
        <v>1.7150243691174343</v>
      </c>
    </row>
    <row r="6" spans="1:19" x14ac:dyDescent="0.3">
      <c r="A6">
        <v>50</v>
      </c>
      <c r="B6">
        <v>50</v>
      </c>
      <c r="C6">
        <v>52</v>
      </c>
      <c r="D6">
        <v>68.819999999999993</v>
      </c>
      <c r="E6">
        <v>68.27</v>
      </c>
      <c r="F6">
        <v>67.561300000000003</v>
      </c>
      <c r="G6">
        <v>65.233900000000006</v>
      </c>
      <c r="H6">
        <f>AVERAGE(D6:G6)</f>
        <v>67.471299999999999</v>
      </c>
      <c r="I6">
        <f>_xlfn.STDEV.P(D6:G6)</f>
        <v>1.3666539558351951</v>
      </c>
    </row>
    <row r="7" spans="1:19" x14ac:dyDescent="0.3">
      <c r="A7">
        <v>100</v>
      </c>
      <c r="F7">
        <v>61.89</v>
      </c>
      <c r="G7">
        <v>60.707999999999998</v>
      </c>
      <c r="H7">
        <f>AVERAGE(F7:G7)</f>
        <v>61.298999999999999</v>
      </c>
      <c r="I7">
        <f>_xlfn.STDEV.P(F7:G7)</f>
        <v>0.59100000000000108</v>
      </c>
    </row>
    <row r="8" spans="1:19" x14ac:dyDescent="0.3">
      <c r="K8">
        <v>66.14</v>
      </c>
      <c r="L8">
        <v>70.293800000000005</v>
      </c>
    </row>
    <row r="13" spans="1:19" x14ac:dyDescent="0.3">
      <c r="I13">
        <v>66.14</v>
      </c>
      <c r="J13">
        <v>70.293800000000005</v>
      </c>
      <c r="K13">
        <f>AVERAGE(I13:J13)</f>
        <v>68.21690000000001</v>
      </c>
      <c r="L13">
        <f>_xlfn.STDEV.P(I13:J13)</f>
        <v>2.076900000000002</v>
      </c>
    </row>
    <row r="14" spans="1:19" ht="15" thickBot="1" x14ac:dyDescent="0.35"/>
    <row r="15" spans="1:19" ht="91.8" thickBot="1" x14ac:dyDescent="0.35">
      <c r="I15">
        <v>0</v>
      </c>
      <c r="J15">
        <v>77.650000000000006</v>
      </c>
      <c r="O15" s="2">
        <v>0</v>
      </c>
      <c r="P15" s="6" t="s">
        <v>5</v>
      </c>
      <c r="Q15" t="str" cm="1">
        <f t="array" ref="Q15:Q20">_xlfn.TEXTSPLIT(P15:P20, "±")</f>
        <v xml:space="preserve">77.65 </v>
      </c>
      <c r="R15" t="str" cm="1">
        <f t="array" ref="R15:R20">_xlfn.TEXTSPLIT(Q15:Q20, "±")</f>
        <v xml:space="preserve">77.65 </v>
      </c>
      <c r="S15">
        <v>1.88</v>
      </c>
    </row>
    <row r="16" spans="1:19" ht="92.4" thickTop="1" thickBot="1" x14ac:dyDescent="0.35">
      <c r="I16">
        <v>10</v>
      </c>
      <c r="J16">
        <v>76.47</v>
      </c>
      <c r="O16" s="3">
        <v>10</v>
      </c>
      <c r="P16" s="7" t="s">
        <v>6</v>
      </c>
      <c r="Q16" t="str">
        <v xml:space="preserve">76.47 </v>
      </c>
      <c r="R16" t="str">
        <v xml:space="preserve">76.47 </v>
      </c>
      <c r="S16">
        <v>1.89</v>
      </c>
    </row>
    <row r="17" spans="9:19" ht="91.8" thickBot="1" x14ac:dyDescent="0.35">
      <c r="I17">
        <v>20</v>
      </c>
      <c r="J17">
        <v>75.459999999999994</v>
      </c>
      <c r="O17" s="4">
        <v>20</v>
      </c>
      <c r="P17" s="8" t="s">
        <v>7</v>
      </c>
      <c r="Q17" t="str">
        <v xml:space="preserve">75.46 </v>
      </c>
      <c r="R17" t="str">
        <v xml:space="preserve">75.46 </v>
      </c>
      <c r="S17">
        <v>1.94</v>
      </c>
    </row>
    <row r="18" spans="9:19" ht="91.8" thickBot="1" x14ac:dyDescent="0.35">
      <c r="I18">
        <v>30</v>
      </c>
      <c r="J18">
        <v>75.03</v>
      </c>
      <c r="O18" s="5">
        <v>30</v>
      </c>
      <c r="P18" s="9" t="s">
        <v>8</v>
      </c>
      <c r="Q18" t="str">
        <v xml:space="preserve">75.03 </v>
      </c>
      <c r="R18" t="str">
        <v xml:space="preserve">75.03 </v>
      </c>
      <c r="S18">
        <v>1.68</v>
      </c>
    </row>
    <row r="19" spans="9:19" ht="69" thickBot="1" x14ac:dyDescent="0.35">
      <c r="I19">
        <v>40</v>
      </c>
      <c r="J19">
        <v>73.790000000000006</v>
      </c>
      <c r="O19" s="4">
        <v>40</v>
      </c>
      <c r="P19" s="8" t="s">
        <v>9</v>
      </c>
      <c r="Q19" t="str">
        <v xml:space="preserve">73.79 </v>
      </c>
      <c r="R19" t="str">
        <v xml:space="preserve">73.79 </v>
      </c>
      <c r="S19">
        <v>1.71</v>
      </c>
    </row>
    <row r="20" spans="9:19" ht="69" thickBot="1" x14ac:dyDescent="0.35">
      <c r="I20">
        <v>50</v>
      </c>
      <c r="J20">
        <v>67.47</v>
      </c>
      <c r="O20" s="5">
        <v>50</v>
      </c>
      <c r="P20" s="5" t="s">
        <v>10</v>
      </c>
      <c r="Q20" t="str">
        <v xml:space="preserve">67.47 </v>
      </c>
      <c r="R20" t="str">
        <v xml:space="preserve">67.47 </v>
      </c>
      <c r="S20">
        <v>1.36</v>
      </c>
    </row>
    <row r="21" spans="9:19" ht="69" thickBot="1" x14ac:dyDescent="0.35">
      <c r="I21">
        <v>100</v>
      </c>
      <c r="J21">
        <v>61.3</v>
      </c>
      <c r="P21" s="4" t="s">
        <v>11</v>
      </c>
      <c r="S21">
        <v>0.59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2752-D1E8-4BD9-84BE-70B470231AFC}">
  <dimension ref="A1:S20"/>
  <sheetViews>
    <sheetView tabSelected="1" topLeftCell="B12" workbookViewId="0">
      <selection activeCell="K17" sqref="K17"/>
    </sheetView>
  </sheetViews>
  <sheetFormatPr defaultRowHeight="14.4" x14ac:dyDescent="0.3"/>
  <sheetData>
    <row r="1" spans="1:19" x14ac:dyDescent="0.3">
      <c r="A1" s="1">
        <v>0</v>
      </c>
      <c r="B1">
        <v>68.602999999999994</v>
      </c>
      <c r="C1">
        <v>68.678669999999997</v>
      </c>
      <c r="D1">
        <f>AVERAGE(B1:C1)</f>
        <v>68.640834999999996</v>
      </c>
      <c r="E1">
        <f>_xlfn.STDEV.P(B1:C1)</f>
        <v>3.7835000000001173E-2</v>
      </c>
      <c r="F1">
        <v>79.39</v>
      </c>
      <c r="G1">
        <v>79.59</v>
      </c>
      <c r="H1">
        <v>76.406999999999996</v>
      </c>
      <c r="I1">
        <v>75.22</v>
      </c>
      <c r="J1">
        <f>AVERAGE(F1:I1)</f>
        <v>77.651749999999993</v>
      </c>
      <c r="K1">
        <f>_xlfn.STDEV.P(F1:I1)</f>
        <v>1.8868715344453122</v>
      </c>
    </row>
    <row r="2" spans="1:19" x14ac:dyDescent="0.3">
      <c r="A2">
        <v>10</v>
      </c>
    </row>
    <row r="3" spans="1:19" x14ac:dyDescent="0.3">
      <c r="A3">
        <v>20</v>
      </c>
    </row>
    <row r="4" spans="1:19" x14ac:dyDescent="0.3">
      <c r="A4">
        <v>30</v>
      </c>
      <c r="B4">
        <v>61.003</v>
      </c>
      <c r="C4">
        <v>57.406999999999996</v>
      </c>
      <c r="D4">
        <f>AVERAGE(B4:C4)</f>
        <v>59.204999999999998</v>
      </c>
      <c r="E4">
        <f>_xlfn.STDEV.P(B4:C4)</f>
        <v>1.7980000000000018</v>
      </c>
    </row>
    <row r="5" spans="1:19" x14ac:dyDescent="0.3">
      <c r="A5">
        <v>40</v>
      </c>
      <c r="F5">
        <v>51.87</v>
      </c>
      <c r="G5">
        <v>52.51</v>
      </c>
      <c r="J5">
        <v>75.580799999999996</v>
      </c>
      <c r="K5">
        <v>71.48</v>
      </c>
      <c r="L5">
        <v>74.319999999999993</v>
      </c>
      <c r="M5">
        <f>AVERAGE(J5:L5)</f>
        <v>73.793599999999998</v>
      </c>
      <c r="N5">
        <f>_xlfn.STDEV.P(J5:L5)</f>
        <v>1.7150243691174343</v>
      </c>
    </row>
    <row r="6" spans="1:19" x14ac:dyDescent="0.3">
      <c r="A6">
        <v>50</v>
      </c>
      <c r="B6">
        <v>50</v>
      </c>
      <c r="C6">
        <v>52</v>
      </c>
      <c r="D6">
        <v>68.819999999999993</v>
      </c>
      <c r="E6">
        <v>68.27</v>
      </c>
      <c r="F6">
        <v>67.561300000000003</v>
      </c>
      <c r="G6">
        <v>65.233900000000006</v>
      </c>
      <c r="H6">
        <f>AVERAGE(D6:G6)</f>
        <v>67.471299999999999</v>
      </c>
      <c r="I6">
        <f>_xlfn.STDEV.P(D6:G6)</f>
        <v>1.3666539558351951</v>
      </c>
    </row>
    <row r="7" spans="1:19" x14ac:dyDescent="0.3">
      <c r="A7">
        <v>100</v>
      </c>
      <c r="F7">
        <v>61.89</v>
      </c>
      <c r="G7">
        <v>60.707999999999998</v>
      </c>
      <c r="H7">
        <f>AVERAGE(F7:G7)</f>
        <v>61.298999999999999</v>
      </c>
      <c r="I7">
        <f>_xlfn.STDEV.P(F7:G7)</f>
        <v>0.59100000000000108</v>
      </c>
    </row>
    <row r="8" spans="1:19" x14ac:dyDescent="0.3">
      <c r="K8">
        <v>66.14</v>
      </c>
      <c r="L8">
        <v>70.293800000000005</v>
      </c>
    </row>
    <row r="13" spans="1:19" x14ac:dyDescent="0.3">
      <c r="I13">
        <v>66.14</v>
      </c>
      <c r="J13">
        <v>70.293800000000005</v>
      </c>
      <c r="K13">
        <f>AVERAGE(I13:J13)</f>
        <v>68.21690000000001</v>
      </c>
      <c r="L13">
        <f>_xlfn.STDEV.P(I13:J13)</f>
        <v>2.076900000000002</v>
      </c>
    </row>
    <row r="14" spans="1:19" ht="15" thickBot="1" x14ac:dyDescent="0.35"/>
    <row r="15" spans="1:19" ht="69" thickBot="1" x14ac:dyDescent="0.35">
      <c r="I15">
        <v>0</v>
      </c>
      <c r="J15">
        <v>68.64</v>
      </c>
      <c r="O15" s="2">
        <v>0</v>
      </c>
      <c r="P15" s="2" t="s">
        <v>0</v>
      </c>
      <c r="Q15" t="str" cm="1">
        <f t="array" ref="Q15:Q20">_xlfn.TEXTSPLIT(P15:P20, "±")</f>
        <v xml:space="preserve">68.64 </v>
      </c>
      <c r="R15" t="str" cm="1">
        <f t="array" ref="R15:R20">_xlfn.TEXTSPLIT(Q15:Q20, "±")</f>
        <v xml:space="preserve">68.64 </v>
      </c>
      <c r="S15">
        <v>0.04</v>
      </c>
    </row>
    <row r="16" spans="1:19" ht="24" thickTop="1" thickBot="1" x14ac:dyDescent="0.35">
      <c r="I16">
        <v>10</v>
      </c>
      <c r="J16">
        <v>66</v>
      </c>
      <c r="O16" s="3">
        <v>10</v>
      </c>
      <c r="P16" s="3">
        <v>66</v>
      </c>
      <c r="Q16" t="str">
        <v>66</v>
      </c>
      <c r="R16" t="str">
        <v>66</v>
      </c>
      <c r="S16">
        <v>0.57999999999999996</v>
      </c>
    </row>
    <row r="17" spans="9:19" ht="69" thickBot="1" x14ac:dyDescent="0.35">
      <c r="I17">
        <v>20</v>
      </c>
      <c r="J17">
        <v>62.69</v>
      </c>
      <c r="O17" s="4">
        <v>20</v>
      </c>
      <c r="P17" s="4" t="s">
        <v>1</v>
      </c>
      <c r="Q17" t="str">
        <v xml:space="preserve">62.69 </v>
      </c>
      <c r="R17" t="str">
        <v xml:space="preserve">62.69 </v>
      </c>
      <c r="S17">
        <v>1.5</v>
      </c>
    </row>
    <row r="18" spans="9:19" ht="69" thickBot="1" x14ac:dyDescent="0.35">
      <c r="I18">
        <v>30</v>
      </c>
      <c r="J18">
        <v>59.204999999999998</v>
      </c>
      <c r="O18" s="5">
        <v>30</v>
      </c>
      <c r="P18" s="5" t="s">
        <v>2</v>
      </c>
      <c r="Q18" t="str">
        <v xml:space="preserve">59.205 </v>
      </c>
      <c r="R18" t="str">
        <v xml:space="preserve">59.205 </v>
      </c>
      <c r="S18">
        <v>1.8</v>
      </c>
    </row>
    <row r="19" spans="9:19" ht="46.2" thickBot="1" x14ac:dyDescent="0.35">
      <c r="I19">
        <v>40</v>
      </c>
      <c r="J19">
        <v>55</v>
      </c>
      <c r="O19" s="4">
        <v>40</v>
      </c>
      <c r="P19" s="4" t="s">
        <v>3</v>
      </c>
      <c r="Q19" t="str">
        <v xml:space="preserve">55 </v>
      </c>
      <c r="R19" t="str">
        <v xml:space="preserve">55 </v>
      </c>
      <c r="S19">
        <v>1</v>
      </c>
    </row>
    <row r="20" spans="9:19" ht="46.2" thickBot="1" x14ac:dyDescent="0.35">
      <c r="I20">
        <v>50</v>
      </c>
      <c r="J20">
        <v>51</v>
      </c>
      <c r="O20" s="5">
        <v>50</v>
      </c>
      <c r="P20" s="5" t="s">
        <v>4</v>
      </c>
      <c r="Q20" t="str">
        <v xml:space="preserve">51 </v>
      </c>
      <c r="R20" t="str">
        <v xml:space="preserve">51 </v>
      </c>
      <c r="S20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Kong</dc:creator>
  <cp:lastModifiedBy>Yue Kong</cp:lastModifiedBy>
  <dcterms:created xsi:type="dcterms:W3CDTF">2026-09-07T10:49:22Z</dcterms:created>
  <dcterms:modified xsi:type="dcterms:W3CDTF">2026-09-08T03:19:03Z</dcterms:modified>
</cp:coreProperties>
</file>