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1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GitHub\Notes\Documents\"/>
    </mc:Choice>
  </mc:AlternateContent>
  <xr:revisionPtr revIDLastSave="0" documentId="13_ncr:1_{7345CDF2-F672-4660-9E15-C8125F864ACA}" xr6:coauthVersionLast="47" xr6:coauthVersionMax="47" xr10:uidLastSave="{00000000-0000-0000-0000-000000000000}"/>
  <bookViews>
    <workbookView xWindow="-108" yWindow="-108" windowWidth="23256" windowHeight="12456" firstSheet="1" activeTab="5" xr2:uid="{46A3D695-995F-4BE6-BFB6-E9A5E2F28F59}"/>
  </bookViews>
  <sheets>
    <sheet name="Blank" sheetId="1" r:id="rId1"/>
    <sheet name="Calibration 1" sheetId="2" r:id="rId2"/>
    <sheet name="Blank 2" sheetId="3" r:id="rId3"/>
    <sheet name="MFO 2 1st Run" sheetId="4" r:id="rId4"/>
    <sheet name="MFO 2 2nd Run" sheetId="5" r:id="rId5"/>
    <sheet name="Sample 18 " sheetId="6" r:id="rId6"/>
    <sheet name="Sample 18 Duplicate" sheetId="7" r:id="rId7"/>
    <sheet name="Sample 260720" sheetId="8" r:id="rId8"/>
    <sheet name="Sample 260720 Duplicate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2" i="4" l="1"/>
  <c r="G11" i="4"/>
  <c r="G9" i="5"/>
  <c r="G10" i="4"/>
  <c r="H5" i="9"/>
  <c r="G5" i="9"/>
  <c r="F5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3" i="9"/>
  <c r="G7" i="8"/>
  <c r="F7" i="8"/>
  <c r="E7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3" i="8"/>
  <c r="H8" i="7"/>
  <c r="G8" i="7"/>
  <c r="F8" i="7"/>
  <c r="C1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3" i="7"/>
  <c r="G18" i="6"/>
  <c r="G17" i="6"/>
  <c r="F17" i="6"/>
  <c r="E17" i="6"/>
  <c r="C8" i="6"/>
  <c r="C1" i="6"/>
  <c r="C4" i="6"/>
  <c r="C5" i="6"/>
  <c r="C6" i="6"/>
  <c r="C7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3" i="6"/>
  <c r="G7" i="5"/>
  <c r="G8" i="5"/>
  <c r="G6" i="5"/>
  <c r="F6" i="5"/>
  <c r="E6" i="5"/>
  <c r="C1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3" i="5"/>
  <c r="G9" i="4"/>
  <c r="C3" i="4"/>
  <c r="F9" i="4"/>
  <c r="E9" i="4"/>
  <c r="C1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G16" i="2"/>
  <c r="G14" i="1"/>
  <c r="F16" i="2"/>
  <c r="E16" i="2"/>
  <c r="C1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3" i="2"/>
  <c r="F14" i="1"/>
  <c r="C13" i="1"/>
  <c r="C14" i="1"/>
  <c r="C15" i="1"/>
  <c r="C16" i="1"/>
  <c r="C17" i="1"/>
  <c r="C18" i="1"/>
  <c r="C19" i="1"/>
  <c r="C12" i="1"/>
  <c r="C4" i="1"/>
  <c r="C5" i="1"/>
  <c r="C6" i="1"/>
  <c r="C7" i="1"/>
  <c r="C8" i="1"/>
  <c r="C9" i="1"/>
  <c r="C10" i="1"/>
  <c r="C11" i="1"/>
  <c r="C20" i="1"/>
  <c r="C21" i="1"/>
  <c r="C22" i="1"/>
  <c r="C23" i="1"/>
  <c r="C24" i="1"/>
  <c r="C25" i="1"/>
  <c r="C26" i="1"/>
  <c r="C27" i="1"/>
  <c r="C28" i="1"/>
  <c r="C29" i="1"/>
  <c r="C30" i="1"/>
  <c r="C3" i="1"/>
  <c r="C1" i="1" l="1"/>
</calcChain>
</file>

<file path=xl/sharedStrings.xml><?xml version="1.0" encoding="utf-8"?>
<sst xmlns="http://schemas.openxmlformats.org/spreadsheetml/2006/main" count="88" uniqueCount="27">
  <si>
    <t>V</t>
  </si>
  <si>
    <t>U</t>
  </si>
  <si>
    <t>Blank IPA/Toluene solution</t>
  </si>
  <si>
    <t>KHP in ultrapure water</t>
  </si>
  <si>
    <t>c</t>
  </si>
  <si>
    <t>g</t>
  </si>
  <si>
    <t>IPA/Tol Blank</t>
  </si>
  <si>
    <t>No Data\</t>
  </si>
  <si>
    <t>mfo2</t>
  </si>
  <si>
    <t>solvent</t>
  </si>
  <si>
    <t>ipa/tol</t>
  </si>
  <si>
    <t>M</t>
  </si>
  <si>
    <t>titrant</t>
  </si>
  <si>
    <t>TAN</t>
  </si>
  <si>
    <t>if base on max dU/dV</t>
  </si>
  <si>
    <t>if based on -70 mV</t>
  </si>
  <si>
    <t>if based on max dU/dV</t>
  </si>
  <si>
    <t>if based on autotitrator value</t>
  </si>
  <si>
    <t>sample 18</t>
  </si>
  <si>
    <t>100% water stripping</t>
  </si>
  <si>
    <t>sample 260720</t>
  </si>
  <si>
    <t>0% water</t>
  </si>
  <si>
    <t>samplle 260720</t>
  </si>
  <si>
    <t>*most likely to to wash water in beaker</t>
  </si>
  <si>
    <t>if based on ph10 (-124.1mV)</t>
  </si>
  <si>
    <t>if based on ph11 (-155.3 mV)</t>
  </si>
  <si>
    <t>if based on pH11 (-155.1 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</si>
</sst>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Blank!$A$2:$A$30</c:f>
              <c:numCache>
                <c:formatCode>General</c:formatCode>
                <c:ptCount val="29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1.12E-2</c:v>
                </c:pt>
                <c:pt idx="4">
                  <c:v>1.7999999999999999E-2</c:v>
                </c:pt>
                <c:pt idx="5">
                  <c:v>2.4E-2</c:v>
                </c:pt>
                <c:pt idx="6">
                  <c:v>0.03</c:v>
                </c:pt>
                <c:pt idx="7">
                  <c:v>4.5999999999999999E-2</c:v>
                </c:pt>
                <c:pt idx="8">
                  <c:v>9.6000000000000002E-2</c:v>
                </c:pt>
                <c:pt idx="9">
                  <c:v>0.22600000000000001</c:v>
                </c:pt>
                <c:pt idx="10">
                  <c:v>0.46</c:v>
                </c:pt>
                <c:pt idx="11">
                  <c:v>0.53</c:v>
                </c:pt>
                <c:pt idx="12">
                  <c:v>0.53800000000000003</c:v>
                </c:pt>
                <c:pt idx="13">
                  <c:v>0.54400000000000004</c:v>
                </c:pt>
                <c:pt idx="14">
                  <c:v>0.55000000000000004</c:v>
                </c:pt>
                <c:pt idx="15">
                  <c:v>0.55600000000000005</c:v>
                </c:pt>
                <c:pt idx="16">
                  <c:v>0.64600000000000002</c:v>
                </c:pt>
                <c:pt idx="17">
                  <c:v>0.71199999999999997</c:v>
                </c:pt>
                <c:pt idx="18">
                  <c:v>0.79</c:v>
                </c:pt>
                <c:pt idx="19">
                  <c:v>0.88</c:v>
                </c:pt>
                <c:pt idx="20">
                  <c:v>1.004</c:v>
                </c:pt>
                <c:pt idx="21">
                  <c:v>1.18</c:v>
                </c:pt>
                <c:pt idx="22">
                  <c:v>1.4019999999999999</c:v>
                </c:pt>
                <c:pt idx="23">
                  <c:v>1.716</c:v>
                </c:pt>
                <c:pt idx="24">
                  <c:v>2.0960000000000001</c:v>
                </c:pt>
                <c:pt idx="25">
                  <c:v>2.5939999999999999</c:v>
                </c:pt>
                <c:pt idx="26">
                  <c:v>3.1739999999999999</c:v>
                </c:pt>
                <c:pt idx="27">
                  <c:v>3.8639999999999999</c:v>
                </c:pt>
                <c:pt idx="28">
                  <c:v>4.4960000000000004</c:v>
                </c:pt>
              </c:numCache>
            </c:numRef>
          </c:xVal>
          <c:yVal>
            <c:numRef>
              <c:f>Blank!$B$2:$B$30</c:f>
              <c:numCache>
                <c:formatCode>General</c:formatCode>
                <c:ptCount val="29"/>
                <c:pt idx="0">
                  <c:v>57.7</c:v>
                </c:pt>
                <c:pt idx="1">
                  <c:v>55.2</c:v>
                </c:pt>
                <c:pt idx="2">
                  <c:v>52.3</c:v>
                </c:pt>
                <c:pt idx="3">
                  <c:v>51.6</c:v>
                </c:pt>
                <c:pt idx="4">
                  <c:v>46.2</c:v>
                </c:pt>
                <c:pt idx="5">
                  <c:v>42.1</c:v>
                </c:pt>
                <c:pt idx="6">
                  <c:v>37.700000000000003</c:v>
                </c:pt>
                <c:pt idx="7">
                  <c:v>32.1</c:v>
                </c:pt>
                <c:pt idx="8">
                  <c:v>26.4</c:v>
                </c:pt>
                <c:pt idx="9">
                  <c:v>19.3</c:v>
                </c:pt>
                <c:pt idx="10">
                  <c:v>-35.200000000000003</c:v>
                </c:pt>
                <c:pt idx="11">
                  <c:v>-72.7</c:v>
                </c:pt>
                <c:pt idx="12">
                  <c:v>-86.6</c:v>
                </c:pt>
                <c:pt idx="13">
                  <c:v>-89.8</c:v>
                </c:pt>
                <c:pt idx="14">
                  <c:v>-91.3</c:v>
                </c:pt>
                <c:pt idx="15">
                  <c:v>-92.3</c:v>
                </c:pt>
                <c:pt idx="16">
                  <c:v>-116</c:v>
                </c:pt>
                <c:pt idx="17">
                  <c:v>-130.1</c:v>
                </c:pt>
                <c:pt idx="18">
                  <c:v>-144.30000000000001</c:v>
                </c:pt>
                <c:pt idx="19">
                  <c:v>-155.19999999999999</c:v>
                </c:pt>
                <c:pt idx="20">
                  <c:v>-165</c:v>
                </c:pt>
                <c:pt idx="21">
                  <c:v>-175.2</c:v>
                </c:pt>
                <c:pt idx="22">
                  <c:v>-182.9</c:v>
                </c:pt>
                <c:pt idx="23">
                  <c:v>-190.7</c:v>
                </c:pt>
                <c:pt idx="24">
                  <c:v>-196</c:v>
                </c:pt>
                <c:pt idx="25">
                  <c:v>-200.5</c:v>
                </c:pt>
                <c:pt idx="26">
                  <c:v>-202.9</c:v>
                </c:pt>
                <c:pt idx="27">
                  <c:v>-207.4</c:v>
                </c:pt>
                <c:pt idx="28">
                  <c:v>-210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9A-4548-86B3-9D18E94C9053}"/>
            </c:ext>
          </c:extLst>
        </c:ser>
        <c:ser>
          <c:idx val="1"/>
          <c:order val="1"/>
          <c:tx>
            <c:v>eq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Blank!$F$14</c:f>
              <c:numCache>
                <c:formatCode>General</c:formatCode>
                <c:ptCount val="1"/>
                <c:pt idx="0">
                  <c:v>0.53400000000000003</c:v>
                </c:pt>
              </c:numCache>
            </c:numRef>
          </c:xVal>
          <c:yVal>
            <c:numRef>
              <c:f>Blank!$G$14</c:f>
              <c:numCache>
                <c:formatCode>General</c:formatCode>
                <c:ptCount val="1"/>
                <c:pt idx="0">
                  <c:v>-79.650000000000006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9A-4548-86B3-9D18E94C9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88079"/>
        <c:axId val="2094762736"/>
      </c:scatterChart>
      <c:valAx>
        <c:axId val="9398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762736"/>
        <c:crosses val="autoZero"/>
        <c:crossBetween val="midCat"/>
      </c:valAx>
      <c:valAx>
        <c:axId val="209476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880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dU/dV over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Blank!$A$3:$A$30</c:f>
              <c:numCache>
                <c:formatCode>General</c:formatCode>
                <c:ptCount val="28"/>
                <c:pt idx="0">
                  <c:v>4.0000000000000001E-3</c:v>
                </c:pt>
                <c:pt idx="1">
                  <c:v>8.0000000000000002E-3</c:v>
                </c:pt>
                <c:pt idx="2">
                  <c:v>1.12E-2</c:v>
                </c:pt>
                <c:pt idx="3">
                  <c:v>1.7999999999999999E-2</c:v>
                </c:pt>
                <c:pt idx="4">
                  <c:v>2.4E-2</c:v>
                </c:pt>
                <c:pt idx="5">
                  <c:v>0.03</c:v>
                </c:pt>
                <c:pt idx="6">
                  <c:v>4.5999999999999999E-2</c:v>
                </c:pt>
                <c:pt idx="7">
                  <c:v>9.6000000000000002E-2</c:v>
                </c:pt>
                <c:pt idx="8">
                  <c:v>0.22600000000000001</c:v>
                </c:pt>
                <c:pt idx="9">
                  <c:v>0.46</c:v>
                </c:pt>
                <c:pt idx="10">
                  <c:v>0.53</c:v>
                </c:pt>
                <c:pt idx="11">
                  <c:v>0.53800000000000003</c:v>
                </c:pt>
                <c:pt idx="12">
                  <c:v>0.54400000000000004</c:v>
                </c:pt>
                <c:pt idx="13">
                  <c:v>0.55000000000000004</c:v>
                </c:pt>
                <c:pt idx="14">
                  <c:v>0.55600000000000005</c:v>
                </c:pt>
                <c:pt idx="15">
                  <c:v>0.64600000000000002</c:v>
                </c:pt>
                <c:pt idx="16">
                  <c:v>0.71199999999999997</c:v>
                </c:pt>
                <c:pt idx="17">
                  <c:v>0.79</c:v>
                </c:pt>
                <c:pt idx="18">
                  <c:v>0.88</c:v>
                </c:pt>
                <c:pt idx="19">
                  <c:v>1.004</c:v>
                </c:pt>
                <c:pt idx="20">
                  <c:v>1.18</c:v>
                </c:pt>
                <c:pt idx="21">
                  <c:v>1.4019999999999999</c:v>
                </c:pt>
                <c:pt idx="22">
                  <c:v>1.716</c:v>
                </c:pt>
                <c:pt idx="23">
                  <c:v>2.0960000000000001</c:v>
                </c:pt>
                <c:pt idx="24">
                  <c:v>2.5939999999999999</c:v>
                </c:pt>
                <c:pt idx="25">
                  <c:v>3.1739999999999999</c:v>
                </c:pt>
                <c:pt idx="26">
                  <c:v>3.8639999999999999</c:v>
                </c:pt>
                <c:pt idx="27">
                  <c:v>4.4960000000000004</c:v>
                </c:pt>
              </c:numCache>
            </c:numRef>
          </c:xVal>
          <c:yVal>
            <c:numRef>
              <c:f>Blank!$C$3:$C$30</c:f>
              <c:numCache>
                <c:formatCode>General</c:formatCode>
                <c:ptCount val="28"/>
                <c:pt idx="0">
                  <c:v>-625</c:v>
                </c:pt>
                <c:pt idx="1">
                  <c:v>-725.00000000000136</c:v>
                </c:pt>
                <c:pt idx="2">
                  <c:v>-218.74999999999869</c:v>
                </c:pt>
                <c:pt idx="3">
                  <c:v>-794.11764705882342</c:v>
                </c:pt>
                <c:pt idx="4">
                  <c:v>-683.33333333333337</c:v>
                </c:pt>
                <c:pt idx="5">
                  <c:v>-733.33333333333326</c:v>
                </c:pt>
                <c:pt idx="6">
                  <c:v>-350.00000000000006</c:v>
                </c:pt>
                <c:pt idx="7">
                  <c:v>-114.00000000000006</c:v>
                </c:pt>
                <c:pt idx="8">
                  <c:v>-54.615384615384599</c:v>
                </c:pt>
                <c:pt idx="9">
                  <c:v>-232.90598290598288</c:v>
                </c:pt>
                <c:pt idx="10">
                  <c:v>-535.71428571428567</c:v>
                </c:pt>
                <c:pt idx="11">
                  <c:v>-1737.4999999999975</c:v>
                </c:pt>
                <c:pt idx="12">
                  <c:v>-533.33333333333337</c:v>
                </c:pt>
                <c:pt idx="13">
                  <c:v>-249.99999999999977</c:v>
                </c:pt>
                <c:pt idx="14">
                  <c:v>-166.66666666666652</c:v>
                </c:pt>
                <c:pt idx="15">
                  <c:v>-263.33333333333343</c:v>
                </c:pt>
                <c:pt idx="16">
                  <c:v>-213.63636363636371</c:v>
                </c:pt>
                <c:pt idx="17">
                  <c:v>-182.0512820512821</c:v>
                </c:pt>
                <c:pt idx="18">
                  <c:v>-121.1111111111109</c:v>
                </c:pt>
                <c:pt idx="19">
                  <c:v>-79.032258064516228</c:v>
                </c:pt>
                <c:pt idx="20">
                  <c:v>-57.954545454545411</c:v>
                </c:pt>
                <c:pt idx="21">
                  <c:v>-34.684684684684768</c:v>
                </c:pt>
                <c:pt idx="22">
                  <c:v>-24.840764331210131</c:v>
                </c:pt>
                <c:pt idx="23">
                  <c:v>-13.947368421052657</c:v>
                </c:pt>
                <c:pt idx="24">
                  <c:v>-9.036144578313257</c:v>
                </c:pt>
                <c:pt idx="25">
                  <c:v>-4.1379310344827678</c:v>
                </c:pt>
                <c:pt idx="26">
                  <c:v>-6.5217391304347831</c:v>
                </c:pt>
                <c:pt idx="27">
                  <c:v>-4.1139240506328987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16-4743-9B05-F28C2AF37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736159"/>
        <c:axId val="989457103"/>
      </c:scatterChart>
      <c:valAx>
        <c:axId val="1204736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457103"/>
        <c:crosses val="autoZero"/>
        <c:crossBetween val="midCat"/>
      </c:valAx>
      <c:valAx>
        <c:axId val="98945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36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'Calibration 1'!$A$2:$A$28</c:f>
              <c:numCache>
                <c:formatCode>General</c:formatCode>
                <c:ptCount val="27"/>
                <c:pt idx="0">
                  <c:v>8.3420000000000005</c:v>
                </c:pt>
                <c:pt idx="1">
                  <c:v>8.7859999999999996</c:v>
                </c:pt>
                <c:pt idx="2">
                  <c:v>9.1880000000000006</c:v>
                </c:pt>
                <c:pt idx="3">
                  <c:v>9.5579999999999998</c:v>
                </c:pt>
                <c:pt idx="4">
                  <c:v>9.8640000000000008</c:v>
                </c:pt>
                <c:pt idx="5">
                  <c:v>10.08</c:v>
                </c:pt>
                <c:pt idx="6">
                  <c:v>10.224</c:v>
                </c:pt>
                <c:pt idx="7">
                  <c:v>10.327999999999999</c:v>
                </c:pt>
                <c:pt idx="8">
                  <c:v>10.374000000000001</c:v>
                </c:pt>
                <c:pt idx="9">
                  <c:v>10.416</c:v>
                </c:pt>
                <c:pt idx="10">
                  <c:v>10.468</c:v>
                </c:pt>
                <c:pt idx="11">
                  <c:v>10.486000000000001</c:v>
                </c:pt>
                <c:pt idx="12">
                  <c:v>10.506</c:v>
                </c:pt>
                <c:pt idx="13">
                  <c:v>10.516</c:v>
                </c:pt>
                <c:pt idx="14">
                  <c:v>10.526</c:v>
                </c:pt>
                <c:pt idx="15">
                  <c:v>10.57</c:v>
                </c:pt>
                <c:pt idx="16">
                  <c:v>10.612</c:v>
                </c:pt>
                <c:pt idx="17">
                  <c:v>10.632</c:v>
                </c:pt>
                <c:pt idx="18">
                  <c:v>10.657999999999999</c:v>
                </c:pt>
                <c:pt idx="19">
                  <c:v>10.72</c:v>
                </c:pt>
                <c:pt idx="20">
                  <c:v>10.798</c:v>
                </c:pt>
                <c:pt idx="21">
                  <c:v>10.906000000000001</c:v>
                </c:pt>
                <c:pt idx="22">
                  <c:v>11.048</c:v>
                </c:pt>
                <c:pt idx="23">
                  <c:v>11.238</c:v>
                </c:pt>
                <c:pt idx="24">
                  <c:v>11.484</c:v>
                </c:pt>
                <c:pt idx="25">
                  <c:v>11.788</c:v>
                </c:pt>
                <c:pt idx="26">
                  <c:v>12.148</c:v>
                </c:pt>
              </c:numCache>
            </c:numRef>
          </c:xVal>
          <c:yVal>
            <c:numRef>
              <c:f>'Calibration 1'!$B$2:$B$28</c:f>
              <c:numCache>
                <c:formatCode>General</c:formatCode>
                <c:ptCount val="27"/>
                <c:pt idx="0">
                  <c:v>53.9</c:v>
                </c:pt>
                <c:pt idx="1">
                  <c:v>44.9</c:v>
                </c:pt>
                <c:pt idx="2">
                  <c:v>35.4</c:v>
                </c:pt>
                <c:pt idx="3">
                  <c:v>24.8</c:v>
                </c:pt>
                <c:pt idx="4">
                  <c:v>13.3</c:v>
                </c:pt>
                <c:pt idx="5">
                  <c:v>2.2000000000000002</c:v>
                </c:pt>
                <c:pt idx="6">
                  <c:v>-7.8</c:v>
                </c:pt>
                <c:pt idx="7">
                  <c:v>-18.399999999999999</c:v>
                </c:pt>
                <c:pt idx="8">
                  <c:v>-24.5</c:v>
                </c:pt>
                <c:pt idx="9">
                  <c:v>-31.3</c:v>
                </c:pt>
                <c:pt idx="10">
                  <c:v>-42.8</c:v>
                </c:pt>
                <c:pt idx="11">
                  <c:v>-47.8</c:v>
                </c:pt>
                <c:pt idx="12">
                  <c:v>-55.5</c:v>
                </c:pt>
                <c:pt idx="13">
                  <c:v>-58.1</c:v>
                </c:pt>
                <c:pt idx="14">
                  <c:v>-61</c:v>
                </c:pt>
                <c:pt idx="15">
                  <c:v>-80.8</c:v>
                </c:pt>
                <c:pt idx="16">
                  <c:v>-97.5</c:v>
                </c:pt>
                <c:pt idx="17">
                  <c:v>-104.6</c:v>
                </c:pt>
                <c:pt idx="18">
                  <c:v>-111.9</c:v>
                </c:pt>
                <c:pt idx="19">
                  <c:v>-125.1</c:v>
                </c:pt>
                <c:pt idx="20">
                  <c:v>-136.5</c:v>
                </c:pt>
                <c:pt idx="21">
                  <c:v>-147.69999999999999</c:v>
                </c:pt>
                <c:pt idx="22">
                  <c:v>-157.80000000000001</c:v>
                </c:pt>
                <c:pt idx="23">
                  <c:v>-164.4</c:v>
                </c:pt>
                <c:pt idx="24">
                  <c:v>-176.4</c:v>
                </c:pt>
                <c:pt idx="25">
                  <c:v>-184.7</c:v>
                </c:pt>
                <c:pt idx="26">
                  <c:v>-191.8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79-4BDD-A060-D632FC2902A7}"/>
            </c:ext>
          </c:extLst>
        </c:ser>
        <c:ser>
          <c:idx val="1"/>
          <c:order val="1"/>
          <c:tx>
            <c:v>eq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'Calibration 1'!$E$16</c:f>
              <c:numCache>
                <c:formatCode>General</c:formatCode>
                <c:ptCount val="1"/>
                <c:pt idx="0">
                  <c:v>10.548</c:v>
                </c:pt>
              </c:numCache>
            </c:numRef>
          </c:xVal>
          <c:yVal>
            <c:numRef>
              <c:f>'Calibration 1'!$F$16</c:f>
              <c:numCache>
                <c:formatCode>General</c:formatCode>
                <c:ptCount val="1"/>
                <c:pt idx="0">
                  <c:v>-70.900000000000006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779-4BDD-A060-D632FC2902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003199"/>
        <c:axId val="115063503"/>
      </c:scatterChart>
      <c:valAx>
        <c:axId val="152003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63503"/>
        <c:crosses val="autoZero"/>
        <c:crossBetween val="midCat"/>
      </c:valAx>
      <c:valAx>
        <c:axId val="11506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03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dU/dV</a:t>
            </a:r>
            <a:r>
              <a:rPr lang="en-IE" baseline="0"/>
              <a:t> over V</a:t>
            </a:r>
            <a:endParaRPr lang="en-I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'Calibration 1'!$A$3:$A$28</c:f>
              <c:numCache>
                <c:formatCode>General</c:formatCode>
                <c:ptCount val="26"/>
                <c:pt idx="0">
                  <c:v>8.7859999999999996</c:v>
                </c:pt>
                <c:pt idx="1">
                  <c:v>9.1880000000000006</c:v>
                </c:pt>
                <c:pt idx="2">
                  <c:v>9.5579999999999998</c:v>
                </c:pt>
                <c:pt idx="3">
                  <c:v>9.8640000000000008</c:v>
                </c:pt>
                <c:pt idx="4">
                  <c:v>10.08</c:v>
                </c:pt>
                <c:pt idx="5">
                  <c:v>10.224</c:v>
                </c:pt>
                <c:pt idx="6">
                  <c:v>10.327999999999999</c:v>
                </c:pt>
                <c:pt idx="7">
                  <c:v>10.374000000000001</c:v>
                </c:pt>
                <c:pt idx="8">
                  <c:v>10.416</c:v>
                </c:pt>
                <c:pt idx="9">
                  <c:v>10.468</c:v>
                </c:pt>
                <c:pt idx="10">
                  <c:v>10.486000000000001</c:v>
                </c:pt>
                <c:pt idx="11">
                  <c:v>10.506</c:v>
                </c:pt>
                <c:pt idx="12">
                  <c:v>10.516</c:v>
                </c:pt>
                <c:pt idx="13">
                  <c:v>10.526</c:v>
                </c:pt>
                <c:pt idx="14">
                  <c:v>10.57</c:v>
                </c:pt>
                <c:pt idx="15">
                  <c:v>10.612</c:v>
                </c:pt>
                <c:pt idx="16">
                  <c:v>10.632</c:v>
                </c:pt>
                <c:pt idx="17">
                  <c:v>10.657999999999999</c:v>
                </c:pt>
                <c:pt idx="18">
                  <c:v>10.72</c:v>
                </c:pt>
                <c:pt idx="19">
                  <c:v>10.798</c:v>
                </c:pt>
                <c:pt idx="20">
                  <c:v>10.906000000000001</c:v>
                </c:pt>
                <c:pt idx="21">
                  <c:v>11.048</c:v>
                </c:pt>
                <c:pt idx="22">
                  <c:v>11.238</c:v>
                </c:pt>
                <c:pt idx="23">
                  <c:v>11.484</c:v>
                </c:pt>
                <c:pt idx="24">
                  <c:v>11.788</c:v>
                </c:pt>
                <c:pt idx="25">
                  <c:v>12.148</c:v>
                </c:pt>
              </c:numCache>
            </c:numRef>
          </c:xVal>
          <c:yVal>
            <c:numRef>
              <c:f>'Calibration 1'!$C$3:$C$28</c:f>
              <c:numCache>
                <c:formatCode>General</c:formatCode>
                <c:ptCount val="26"/>
                <c:pt idx="0">
                  <c:v>-20.270270270270313</c:v>
                </c:pt>
                <c:pt idx="1">
                  <c:v>-23.631840796019841</c:v>
                </c:pt>
                <c:pt idx="2">
                  <c:v>-28.648648648648702</c:v>
                </c:pt>
                <c:pt idx="3">
                  <c:v>-37.581699346405117</c:v>
                </c:pt>
                <c:pt idx="4">
                  <c:v>-51.388888888889063</c:v>
                </c:pt>
                <c:pt idx="5">
                  <c:v>-69.444444444444386</c:v>
                </c:pt>
                <c:pt idx="6">
                  <c:v>-101.92307692307769</c:v>
                </c:pt>
                <c:pt idx="7">
                  <c:v>-132.60869565217064</c:v>
                </c:pt>
                <c:pt idx="8">
                  <c:v>-161.90476190476264</c:v>
                </c:pt>
                <c:pt idx="9">
                  <c:v>-221.15384615384778</c:v>
                </c:pt>
                <c:pt idx="10">
                  <c:v>-277.77777777776726</c:v>
                </c:pt>
                <c:pt idx="11">
                  <c:v>-385.00000000000836</c:v>
                </c:pt>
                <c:pt idx="12">
                  <c:v>-260.00000000000568</c:v>
                </c:pt>
                <c:pt idx="13">
                  <c:v>-290.00000000000603</c:v>
                </c:pt>
                <c:pt idx="14">
                  <c:v>-449.999999999995</c:v>
                </c:pt>
                <c:pt idx="15">
                  <c:v>-397.61904761904941</c:v>
                </c:pt>
                <c:pt idx="16">
                  <c:v>-355.00000000000728</c:v>
                </c:pt>
                <c:pt idx="17">
                  <c:v>-280.76923076923333</c:v>
                </c:pt>
                <c:pt idx="18">
                  <c:v>-212.90322580644744</c:v>
                </c:pt>
                <c:pt idx="19">
                  <c:v>-146.15384615384735</c:v>
                </c:pt>
                <c:pt idx="20">
                  <c:v>-103.70370370370308</c:v>
                </c:pt>
                <c:pt idx="21">
                  <c:v>-71.126760563380714</c:v>
                </c:pt>
                <c:pt idx="22">
                  <c:v>-34.736842105263221</c:v>
                </c:pt>
                <c:pt idx="23">
                  <c:v>-48.780487804877964</c:v>
                </c:pt>
                <c:pt idx="24">
                  <c:v>-27.302631578947288</c:v>
                </c:pt>
                <c:pt idx="25">
                  <c:v>-19.722222222222317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B5-4A43-A153-7BE23A513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910111"/>
        <c:axId val="989532463"/>
      </c:scatterChart>
      <c:valAx>
        <c:axId val="119991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532463"/>
        <c:crosses val="autoZero"/>
        <c:crossBetween val="midCat"/>
      </c:valAx>
      <c:valAx>
        <c:axId val="98953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91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eq2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'MFO 2 1st Run'!$E$10</c:f>
              <c:numCache>
                <c:formatCode>General</c:formatCode>
                <c:ptCount val="1"/>
                <c:pt idx="0">
                  <c:v>0.56000000000000005</c:v>
                </c:pt>
              </c:numCache>
            </c:numRef>
          </c:xVal>
          <c:yVal>
            <c:numRef>
              <c:f>'MFO 2 1st Run'!$F$10</c:f>
              <c:numCache>
                <c:formatCode>General</c:formatCode>
                <c:ptCount val="1"/>
                <c:pt idx="0">
                  <c:v>-71.5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D3-41E0-8430-CB8F2CD4A05E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5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FF0000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rgbClr val="FF0000">
                    <a:alpha val="98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D3-41E0-8430-CB8F2CD4A05E}"/>
              </c:ext>
            </c:extLst>
          </c:dPt>
          <c:xVal>
            <c:numRef>
              <c:f>'MFO 2 1st Run'!$A$2:$A$27</c:f>
              <c:numCache>
                <c:formatCode>General</c:formatCode>
                <c:ptCount val="26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7.3999999999999996E-2</c:v>
                </c:pt>
                <c:pt idx="5">
                  <c:v>0.08</c:v>
                </c:pt>
                <c:pt idx="6">
                  <c:v>8.5999999999999993E-2</c:v>
                </c:pt>
                <c:pt idx="7">
                  <c:v>9.0999999999999998E-2</c:v>
                </c:pt>
                <c:pt idx="8">
                  <c:v>9.8000000000000004E-2</c:v>
                </c:pt>
                <c:pt idx="9">
                  <c:v>0.104</c:v>
                </c:pt>
                <c:pt idx="10">
                  <c:v>0.11</c:v>
                </c:pt>
                <c:pt idx="11">
                  <c:v>0.36199999999999999</c:v>
                </c:pt>
                <c:pt idx="12">
                  <c:v>0.432</c:v>
                </c:pt>
                <c:pt idx="13">
                  <c:v>0.498</c:v>
                </c:pt>
                <c:pt idx="14">
                  <c:v>0.56000000000000005</c:v>
                </c:pt>
                <c:pt idx="15">
                  <c:v>0.59599999999999997</c:v>
                </c:pt>
                <c:pt idx="16">
                  <c:v>0.68400000000000005</c:v>
                </c:pt>
                <c:pt idx="17">
                  <c:v>0.78800000000000003</c:v>
                </c:pt>
                <c:pt idx="18">
                  <c:v>0.90600000000000003</c:v>
                </c:pt>
                <c:pt idx="19">
                  <c:v>1.024</c:v>
                </c:pt>
                <c:pt idx="20">
                  <c:v>1.1479999999999999</c:v>
                </c:pt>
                <c:pt idx="21">
                  <c:v>1.282</c:v>
                </c:pt>
                <c:pt idx="22">
                  <c:v>1.4379999999999999</c:v>
                </c:pt>
                <c:pt idx="23">
                  <c:v>1.6379999999999999</c:v>
                </c:pt>
                <c:pt idx="24">
                  <c:v>1.9039999999999999</c:v>
                </c:pt>
                <c:pt idx="25">
                  <c:v>2.2480000000000002</c:v>
                </c:pt>
              </c:numCache>
            </c:numRef>
          </c:xVal>
          <c:yVal>
            <c:numRef>
              <c:f>'MFO 2 1st Run'!$B$2:$B$27</c:f>
              <c:numCache>
                <c:formatCode>General</c:formatCode>
                <c:ptCount val="26"/>
                <c:pt idx="0">
                  <c:v>82.9</c:v>
                </c:pt>
                <c:pt idx="1">
                  <c:v>81.900000000000006</c:v>
                </c:pt>
                <c:pt idx="2">
                  <c:v>81.5</c:v>
                </c:pt>
                <c:pt idx="3">
                  <c:v>80.900000000000006</c:v>
                </c:pt>
                <c:pt idx="4">
                  <c:v>53.6</c:v>
                </c:pt>
                <c:pt idx="5">
                  <c:v>49.2</c:v>
                </c:pt>
                <c:pt idx="6">
                  <c:v>48</c:v>
                </c:pt>
                <c:pt idx="7">
                  <c:v>41.5</c:v>
                </c:pt>
                <c:pt idx="8">
                  <c:v>38.4</c:v>
                </c:pt>
                <c:pt idx="9">
                  <c:v>37.6</c:v>
                </c:pt>
                <c:pt idx="10">
                  <c:v>37.4</c:v>
                </c:pt>
                <c:pt idx="11">
                  <c:v>-23.9</c:v>
                </c:pt>
                <c:pt idx="12">
                  <c:v>-42</c:v>
                </c:pt>
                <c:pt idx="13">
                  <c:v>-58.3</c:v>
                </c:pt>
                <c:pt idx="14">
                  <c:v>-71.5</c:v>
                </c:pt>
                <c:pt idx="15">
                  <c:v>-78.2</c:v>
                </c:pt>
                <c:pt idx="16">
                  <c:v>-91.5</c:v>
                </c:pt>
                <c:pt idx="17">
                  <c:v>-105</c:v>
                </c:pt>
                <c:pt idx="18">
                  <c:v>-120.3</c:v>
                </c:pt>
                <c:pt idx="19">
                  <c:v>-135</c:v>
                </c:pt>
                <c:pt idx="20">
                  <c:v>-148.80000000000001</c:v>
                </c:pt>
                <c:pt idx="21">
                  <c:v>-161.19999999999999</c:v>
                </c:pt>
                <c:pt idx="22">
                  <c:v>-171.6</c:v>
                </c:pt>
                <c:pt idx="23">
                  <c:v>-180.6</c:v>
                </c:pt>
                <c:pt idx="24">
                  <c:v>-188.5</c:v>
                </c:pt>
                <c:pt idx="25">
                  <c:v>-195.7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D3-41E0-8430-CB8F2CD4A05E}"/>
            </c:ext>
          </c:extLst>
        </c:ser>
        <c:ser>
          <c:idx val="1"/>
          <c:order val="2"/>
          <c:tx>
            <c:v>eq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'MFO 2 1st Run'!$E$9</c:f>
              <c:numCache>
                <c:formatCode>General</c:formatCode>
                <c:ptCount val="1"/>
                <c:pt idx="0">
                  <c:v>8.8499999999999995E-2</c:v>
                </c:pt>
              </c:numCache>
            </c:numRef>
          </c:xVal>
          <c:yVal>
            <c:numRef>
              <c:f>'MFO 2 1st Run'!$F$9</c:f>
              <c:numCache>
                <c:formatCode>General</c:formatCode>
                <c:ptCount val="1"/>
                <c:pt idx="0">
                  <c:v>44.75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D3-41E0-8430-CB8F2CD4A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839375"/>
        <c:axId val="115093743"/>
      </c:scatterChart>
      <c:valAx>
        <c:axId val="25583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93743"/>
        <c:crosses val="autoZero"/>
        <c:crossBetween val="midCat"/>
      </c:valAx>
      <c:valAx>
        <c:axId val="11509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839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dU/dV over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'MFO 2 1st Run'!$A$3:$A$27</c:f>
              <c:numCache>
                <c:formatCode>General</c:formatCode>
                <c:ptCount val="25"/>
                <c:pt idx="0">
                  <c:v>4.0000000000000001E-3</c:v>
                </c:pt>
                <c:pt idx="1">
                  <c:v>8.0000000000000002E-3</c:v>
                </c:pt>
                <c:pt idx="2">
                  <c:v>1.2E-2</c:v>
                </c:pt>
                <c:pt idx="3">
                  <c:v>7.3999999999999996E-2</c:v>
                </c:pt>
                <c:pt idx="4">
                  <c:v>0.08</c:v>
                </c:pt>
                <c:pt idx="5">
                  <c:v>8.5999999999999993E-2</c:v>
                </c:pt>
                <c:pt idx="6">
                  <c:v>9.0999999999999998E-2</c:v>
                </c:pt>
                <c:pt idx="7">
                  <c:v>9.8000000000000004E-2</c:v>
                </c:pt>
                <c:pt idx="8">
                  <c:v>0.104</c:v>
                </c:pt>
                <c:pt idx="9">
                  <c:v>0.11</c:v>
                </c:pt>
                <c:pt idx="10">
                  <c:v>0.36199999999999999</c:v>
                </c:pt>
                <c:pt idx="11">
                  <c:v>0.432</c:v>
                </c:pt>
                <c:pt idx="12">
                  <c:v>0.498</c:v>
                </c:pt>
                <c:pt idx="13">
                  <c:v>0.56000000000000005</c:v>
                </c:pt>
                <c:pt idx="14">
                  <c:v>0.59599999999999997</c:v>
                </c:pt>
                <c:pt idx="15">
                  <c:v>0.68400000000000005</c:v>
                </c:pt>
                <c:pt idx="16">
                  <c:v>0.78800000000000003</c:v>
                </c:pt>
                <c:pt idx="17">
                  <c:v>0.90600000000000003</c:v>
                </c:pt>
                <c:pt idx="18">
                  <c:v>1.024</c:v>
                </c:pt>
                <c:pt idx="19">
                  <c:v>1.1479999999999999</c:v>
                </c:pt>
                <c:pt idx="20">
                  <c:v>1.282</c:v>
                </c:pt>
                <c:pt idx="21">
                  <c:v>1.4379999999999999</c:v>
                </c:pt>
                <c:pt idx="22">
                  <c:v>1.6379999999999999</c:v>
                </c:pt>
                <c:pt idx="23">
                  <c:v>1.9039999999999999</c:v>
                </c:pt>
                <c:pt idx="24">
                  <c:v>2.2480000000000002</c:v>
                </c:pt>
              </c:numCache>
            </c:numRef>
          </c:xVal>
          <c:yVal>
            <c:numRef>
              <c:f>'MFO 2 1st Run'!$C$3:$C$27</c:f>
              <c:numCache>
                <c:formatCode>General</c:formatCode>
                <c:ptCount val="25"/>
                <c:pt idx="0">
                  <c:v>-250</c:v>
                </c:pt>
                <c:pt idx="1">
                  <c:v>-100.00000000000142</c:v>
                </c:pt>
                <c:pt idx="2">
                  <c:v>-149.99999999999858</c:v>
                </c:pt>
                <c:pt idx="3">
                  <c:v>-440.32258064516134</c:v>
                </c:pt>
                <c:pt idx="4">
                  <c:v>-733.33333333333246</c:v>
                </c:pt>
                <c:pt idx="5">
                  <c:v>-200.00000000000077</c:v>
                </c:pt>
                <c:pt idx="6">
                  <c:v>-1299.9999999999989</c:v>
                </c:pt>
                <c:pt idx="7">
                  <c:v>-442.85714285714266</c:v>
                </c:pt>
                <c:pt idx="8">
                  <c:v>-133.33333333333306</c:v>
                </c:pt>
                <c:pt idx="9">
                  <c:v>-33.333333333333776</c:v>
                </c:pt>
                <c:pt idx="10">
                  <c:v>-243.25396825396825</c:v>
                </c:pt>
                <c:pt idx="11">
                  <c:v>-258.57142857142856</c:v>
                </c:pt>
                <c:pt idx="12">
                  <c:v>-246.96969696969691</c:v>
                </c:pt>
                <c:pt idx="13">
                  <c:v>-212.90322580645147</c:v>
                </c:pt>
                <c:pt idx="14">
                  <c:v>-186.1111111111116</c:v>
                </c:pt>
                <c:pt idx="15">
                  <c:v>-151.13636363636348</c:v>
                </c:pt>
                <c:pt idx="16">
                  <c:v>-129.80769230769232</c:v>
                </c:pt>
                <c:pt idx="17">
                  <c:v>-129.66101694915253</c:v>
                </c:pt>
                <c:pt idx="18">
                  <c:v>-124.57627118644071</c:v>
                </c:pt>
                <c:pt idx="19">
                  <c:v>-111.29032258064535</c:v>
                </c:pt>
                <c:pt idx="20">
                  <c:v>-92.537313432835575</c:v>
                </c:pt>
                <c:pt idx="21">
                  <c:v>-66.666666666666742</c:v>
                </c:pt>
                <c:pt idx="22">
                  <c:v>-45.000000000000007</c:v>
                </c:pt>
                <c:pt idx="23">
                  <c:v>-29.699248120300773</c:v>
                </c:pt>
                <c:pt idx="24">
                  <c:v>-20.930232558139483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21-4BBA-AE38-4E5583502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910111"/>
        <c:axId val="989474863"/>
      </c:scatterChart>
      <c:valAx>
        <c:axId val="119991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474863"/>
        <c:crosses val="autoZero"/>
        <c:crossBetween val="midCat"/>
      </c:valAx>
      <c:valAx>
        <c:axId val="98947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91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'MFO 2 2nd Run'!$A$2:$A$20</c:f>
              <c:numCache>
                <c:formatCode>General</c:formatCode>
                <c:ptCount val="19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1.12E-2</c:v>
                </c:pt>
                <c:pt idx="4">
                  <c:v>0.02</c:v>
                </c:pt>
                <c:pt idx="5">
                  <c:v>0.314</c:v>
                </c:pt>
                <c:pt idx="6">
                  <c:v>0.374</c:v>
                </c:pt>
                <c:pt idx="7">
                  <c:v>0.39600000000000002</c:v>
                </c:pt>
                <c:pt idx="8">
                  <c:v>0.45200000000000001</c:v>
                </c:pt>
                <c:pt idx="9">
                  <c:v>0.54800000000000004</c:v>
                </c:pt>
                <c:pt idx="10">
                  <c:v>0.624</c:v>
                </c:pt>
                <c:pt idx="11">
                  <c:v>0.7</c:v>
                </c:pt>
                <c:pt idx="12">
                  <c:v>0.72799999999999998</c:v>
                </c:pt>
                <c:pt idx="13">
                  <c:v>0.83799999999999997</c:v>
                </c:pt>
                <c:pt idx="14">
                  <c:v>0.95599999999999996</c:v>
                </c:pt>
                <c:pt idx="15">
                  <c:v>1.0820000000000001</c:v>
                </c:pt>
                <c:pt idx="16">
                  <c:v>1.224</c:v>
                </c:pt>
                <c:pt idx="17">
                  <c:v>1.3360000000000001</c:v>
                </c:pt>
                <c:pt idx="18">
                  <c:v>1.5840000000000001</c:v>
                </c:pt>
              </c:numCache>
            </c:numRef>
          </c:xVal>
          <c:yVal>
            <c:numRef>
              <c:f>'MFO 2 2nd Run'!$B$2:$B$20</c:f>
              <c:numCache>
                <c:formatCode>General</c:formatCode>
                <c:ptCount val="19"/>
                <c:pt idx="0">
                  <c:v>57.9</c:v>
                </c:pt>
                <c:pt idx="1">
                  <c:v>58.3</c:v>
                </c:pt>
                <c:pt idx="2">
                  <c:v>59.3</c:v>
                </c:pt>
                <c:pt idx="3">
                  <c:v>59.6</c:v>
                </c:pt>
                <c:pt idx="4">
                  <c:v>59.9</c:v>
                </c:pt>
                <c:pt idx="5">
                  <c:v>-24.5</c:v>
                </c:pt>
                <c:pt idx="6">
                  <c:v>-37.299999999999997</c:v>
                </c:pt>
                <c:pt idx="7">
                  <c:v>-40.4</c:v>
                </c:pt>
                <c:pt idx="8">
                  <c:v>-50.8</c:v>
                </c:pt>
                <c:pt idx="9">
                  <c:v>-71.7</c:v>
                </c:pt>
                <c:pt idx="10">
                  <c:v>-88.2</c:v>
                </c:pt>
                <c:pt idx="11">
                  <c:v>-101.3</c:v>
                </c:pt>
                <c:pt idx="12">
                  <c:v>-105.3</c:v>
                </c:pt>
                <c:pt idx="13">
                  <c:v>-119.7</c:v>
                </c:pt>
                <c:pt idx="14">
                  <c:v>-133.9</c:v>
                </c:pt>
                <c:pt idx="15">
                  <c:v>-147</c:v>
                </c:pt>
                <c:pt idx="16">
                  <c:v>-159.6</c:v>
                </c:pt>
                <c:pt idx="17">
                  <c:v>-170.5</c:v>
                </c:pt>
                <c:pt idx="18">
                  <c:v>-179.6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47-4769-8B76-30F030F1617D}"/>
            </c:ext>
          </c:extLst>
        </c:ser>
        <c:ser>
          <c:idx val="1"/>
          <c:order val="1"/>
          <c:tx>
            <c:v>eq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'MFO 2 2nd Run'!$E$7</c:f>
              <c:numCache>
                <c:formatCode>General</c:formatCode>
                <c:ptCount val="1"/>
                <c:pt idx="0">
                  <c:v>0.54800000000000004</c:v>
                </c:pt>
              </c:numCache>
            </c:numRef>
          </c:xVal>
          <c:yVal>
            <c:numRef>
              <c:f>'MFO 2 2nd Run'!$F$7</c:f>
              <c:numCache>
                <c:formatCode>General</c:formatCode>
                <c:ptCount val="1"/>
                <c:pt idx="0">
                  <c:v>-71.7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447-4769-8B76-30F030F16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953311"/>
        <c:axId val="115061583"/>
      </c:scatterChart>
      <c:valAx>
        <c:axId val="106953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61583"/>
        <c:crosses val="autoZero"/>
        <c:crossBetween val="midCat"/>
      </c:valAx>
      <c:valAx>
        <c:axId val="11506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53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dU/dV over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'MFO 2 2nd Run'!$A$3:$A$20</c:f>
              <c:numCache>
                <c:formatCode>General</c:formatCode>
                <c:ptCount val="18"/>
                <c:pt idx="0">
                  <c:v>4.0000000000000001E-3</c:v>
                </c:pt>
                <c:pt idx="1">
                  <c:v>8.0000000000000002E-3</c:v>
                </c:pt>
                <c:pt idx="2">
                  <c:v>1.12E-2</c:v>
                </c:pt>
                <c:pt idx="3">
                  <c:v>0.02</c:v>
                </c:pt>
                <c:pt idx="4">
                  <c:v>0.314</c:v>
                </c:pt>
                <c:pt idx="5">
                  <c:v>0.374</c:v>
                </c:pt>
                <c:pt idx="6">
                  <c:v>0.39600000000000002</c:v>
                </c:pt>
                <c:pt idx="7">
                  <c:v>0.45200000000000001</c:v>
                </c:pt>
                <c:pt idx="8">
                  <c:v>0.54800000000000004</c:v>
                </c:pt>
                <c:pt idx="9">
                  <c:v>0.624</c:v>
                </c:pt>
                <c:pt idx="10">
                  <c:v>0.7</c:v>
                </c:pt>
                <c:pt idx="11">
                  <c:v>0.72799999999999998</c:v>
                </c:pt>
                <c:pt idx="12">
                  <c:v>0.83799999999999997</c:v>
                </c:pt>
                <c:pt idx="13">
                  <c:v>0.95599999999999996</c:v>
                </c:pt>
                <c:pt idx="14">
                  <c:v>1.0820000000000001</c:v>
                </c:pt>
                <c:pt idx="15">
                  <c:v>1.224</c:v>
                </c:pt>
                <c:pt idx="16">
                  <c:v>1.3360000000000001</c:v>
                </c:pt>
                <c:pt idx="17">
                  <c:v>1.5840000000000001</c:v>
                </c:pt>
              </c:numCache>
            </c:numRef>
          </c:xVal>
          <c:yVal>
            <c:numRef>
              <c:f>'MFO 2 2nd Run'!$C$3:$C$20</c:f>
              <c:numCache>
                <c:formatCode>General</c:formatCode>
                <c:ptCount val="18"/>
                <c:pt idx="0">
                  <c:v>99.999999999999645</c:v>
                </c:pt>
                <c:pt idx="1">
                  <c:v>250</c:v>
                </c:pt>
                <c:pt idx="2">
                  <c:v>93.750000000001336</c:v>
                </c:pt>
                <c:pt idx="3">
                  <c:v>34.090909090908767</c:v>
                </c:pt>
                <c:pt idx="4">
                  <c:v>-287.07482993197283</c:v>
                </c:pt>
                <c:pt idx="5">
                  <c:v>-213.33333333333329</c:v>
                </c:pt>
                <c:pt idx="6">
                  <c:v>-140.90909090909085</c:v>
                </c:pt>
                <c:pt idx="7">
                  <c:v>-185.71428571428569</c:v>
                </c:pt>
                <c:pt idx="8">
                  <c:v>-217.70833333333331</c:v>
                </c:pt>
                <c:pt idx="9">
                  <c:v>-217.10526315789485</c:v>
                </c:pt>
                <c:pt idx="10">
                  <c:v>-172.36842105263159</c:v>
                </c:pt>
                <c:pt idx="11">
                  <c:v>-142.85714285714272</c:v>
                </c:pt>
                <c:pt idx="12">
                  <c:v>-130.90909090909096</c:v>
                </c:pt>
                <c:pt idx="13">
                  <c:v>-120.33898305084749</c:v>
                </c:pt>
                <c:pt idx="14">
                  <c:v>-103.96825396825383</c:v>
                </c:pt>
                <c:pt idx="15">
                  <c:v>-88.732394366197198</c:v>
                </c:pt>
                <c:pt idx="16">
                  <c:v>-97.321428571428541</c:v>
                </c:pt>
                <c:pt idx="17">
                  <c:v>-36.693548387096754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19-443F-996E-8D8BAA097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4714351"/>
        <c:axId val="989551183"/>
      </c:scatterChart>
      <c:valAx>
        <c:axId val="1204714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551183"/>
        <c:crosses val="autoZero"/>
        <c:crossBetween val="midCat"/>
      </c:valAx>
      <c:valAx>
        <c:axId val="98955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714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dU/dV over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065148833140039E-2"/>
          <c:y val="0.15207052070520705"/>
          <c:w val="0.90064802946143341"/>
          <c:h val="0.73590279997288166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'Sample 18 '!$A$3:$A$61</c:f>
              <c:numCache>
                <c:formatCode>General</c:formatCode>
                <c:ptCount val="59"/>
                <c:pt idx="0">
                  <c:v>0.04</c:v>
                </c:pt>
                <c:pt idx="1">
                  <c:v>0.08</c:v>
                </c:pt>
                <c:pt idx="2">
                  <c:v>1.2E-2</c:v>
                </c:pt>
                <c:pt idx="3">
                  <c:v>5.1999999999999998E-2</c:v>
                </c:pt>
                <c:pt idx="4">
                  <c:v>7.3999999999999996E-2</c:v>
                </c:pt>
                <c:pt idx="5">
                  <c:v>0.622</c:v>
                </c:pt>
                <c:pt idx="6">
                  <c:v>0.86799999999999999</c:v>
                </c:pt>
                <c:pt idx="7">
                  <c:v>1.1919999999999999</c:v>
                </c:pt>
                <c:pt idx="8">
                  <c:v>1.468</c:v>
                </c:pt>
                <c:pt idx="9">
                  <c:v>1.8580000000000001</c:v>
                </c:pt>
                <c:pt idx="10">
                  <c:v>2.2879999999999998</c:v>
                </c:pt>
                <c:pt idx="11">
                  <c:v>2.7360000000000002</c:v>
                </c:pt>
                <c:pt idx="12">
                  <c:v>3.21</c:v>
                </c:pt>
                <c:pt idx="13">
                  <c:v>3.7160000000000002</c:v>
                </c:pt>
                <c:pt idx="14">
                  <c:v>4.25</c:v>
                </c:pt>
                <c:pt idx="15">
                  <c:v>4.8</c:v>
                </c:pt>
                <c:pt idx="16">
                  <c:v>5.3739999999999997</c:v>
                </c:pt>
                <c:pt idx="17">
                  <c:v>5.96</c:v>
                </c:pt>
                <c:pt idx="18">
                  <c:v>6.556</c:v>
                </c:pt>
                <c:pt idx="19">
                  <c:v>7.15</c:v>
                </c:pt>
                <c:pt idx="20">
                  <c:v>7.766</c:v>
                </c:pt>
                <c:pt idx="21">
                  <c:v>8.3719999999999999</c:v>
                </c:pt>
                <c:pt idx="22">
                  <c:v>8.9779999999999998</c:v>
                </c:pt>
                <c:pt idx="23">
                  <c:v>9.5820000000000007</c:v>
                </c:pt>
                <c:pt idx="24">
                  <c:v>10.173999999999999</c:v>
                </c:pt>
                <c:pt idx="25">
                  <c:v>10.76</c:v>
                </c:pt>
                <c:pt idx="26">
                  <c:v>11.334</c:v>
                </c:pt>
                <c:pt idx="27">
                  <c:v>11.885999999999999</c:v>
                </c:pt>
                <c:pt idx="28">
                  <c:v>12.41</c:v>
                </c:pt>
                <c:pt idx="29">
                  <c:v>12.912000000000001</c:v>
                </c:pt>
                <c:pt idx="30">
                  <c:v>13.39</c:v>
                </c:pt>
                <c:pt idx="31">
                  <c:v>13.824</c:v>
                </c:pt>
                <c:pt idx="32">
                  <c:v>14.252000000000001</c:v>
                </c:pt>
                <c:pt idx="33">
                  <c:v>14.666</c:v>
                </c:pt>
                <c:pt idx="34">
                  <c:v>15.074</c:v>
                </c:pt>
                <c:pt idx="35">
                  <c:v>15.492000000000001</c:v>
                </c:pt>
                <c:pt idx="36">
                  <c:v>15.932</c:v>
                </c:pt>
                <c:pt idx="37">
                  <c:v>16.388000000000002</c:v>
                </c:pt>
                <c:pt idx="38">
                  <c:v>16.866</c:v>
                </c:pt>
                <c:pt idx="39">
                  <c:v>17.356000000000002</c:v>
                </c:pt>
                <c:pt idx="40">
                  <c:v>17.878</c:v>
                </c:pt>
                <c:pt idx="41">
                  <c:v>18.414000000000001</c:v>
                </c:pt>
                <c:pt idx="42">
                  <c:v>18.972000000000001</c:v>
                </c:pt>
                <c:pt idx="43">
                  <c:v>19.547999999999998</c:v>
                </c:pt>
                <c:pt idx="44">
                  <c:v>20.143999999999998</c:v>
                </c:pt>
                <c:pt idx="45">
                  <c:v>20.782</c:v>
                </c:pt>
                <c:pt idx="46">
                  <c:v>21.405999999999999</c:v>
                </c:pt>
                <c:pt idx="47">
                  <c:v>22.03</c:v>
                </c:pt>
                <c:pt idx="48">
                  <c:v>22.672000000000001</c:v>
                </c:pt>
                <c:pt idx="49">
                  <c:v>23.314</c:v>
                </c:pt>
                <c:pt idx="50">
                  <c:v>23.972000000000001</c:v>
                </c:pt>
                <c:pt idx="51">
                  <c:v>24.648</c:v>
                </c:pt>
                <c:pt idx="52">
                  <c:v>25.324000000000002</c:v>
                </c:pt>
                <c:pt idx="53">
                  <c:v>26</c:v>
                </c:pt>
                <c:pt idx="54">
                  <c:v>26.698</c:v>
                </c:pt>
                <c:pt idx="55">
                  <c:v>27.385999999999999</c:v>
                </c:pt>
                <c:pt idx="56">
                  <c:v>28.1</c:v>
                </c:pt>
                <c:pt idx="57">
                  <c:v>28.81</c:v>
                </c:pt>
                <c:pt idx="58">
                  <c:v>29.527999999999999</c:v>
                </c:pt>
              </c:numCache>
            </c:numRef>
          </c:xVal>
          <c:yVal>
            <c:numRef>
              <c:f>'Sample 18 '!$C$3:$C$61</c:f>
              <c:numCache>
                <c:formatCode>General</c:formatCode>
                <c:ptCount val="59"/>
                <c:pt idx="0">
                  <c:v>7.4999999999995737</c:v>
                </c:pt>
                <c:pt idx="1">
                  <c:v>2.5000000000005684</c:v>
                </c:pt>
                <c:pt idx="2">
                  <c:v>-5.8823529411761362</c:v>
                </c:pt>
                <c:pt idx="3">
                  <c:v>30.00000000000043</c:v>
                </c:pt>
                <c:pt idx="4">
                  <c:v>-9.0909090909098662</c:v>
                </c:pt>
                <c:pt idx="5">
                  <c:v>-50.182481751824788</c:v>
                </c:pt>
                <c:pt idx="6">
                  <c:v>-32.926829268292721</c:v>
                </c:pt>
                <c:pt idx="7">
                  <c:v>-24.999999999999986</c:v>
                </c:pt>
                <c:pt idx="8">
                  <c:v>-23.550724637681157</c:v>
                </c:pt>
                <c:pt idx="9">
                  <c:v>-19.487179487179468</c:v>
                </c:pt>
                <c:pt idx="10">
                  <c:v>-17.906976744186064</c:v>
                </c:pt>
                <c:pt idx="11">
                  <c:v>-15.84821428571429</c:v>
                </c:pt>
                <c:pt idx="12">
                  <c:v>-13.291139240506331</c:v>
                </c:pt>
                <c:pt idx="13">
                  <c:v>-11.660079051383391</c:v>
                </c:pt>
                <c:pt idx="14">
                  <c:v>-10.486891385767796</c:v>
                </c:pt>
                <c:pt idx="15">
                  <c:v>-9.4545454545454497</c:v>
                </c:pt>
                <c:pt idx="16">
                  <c:v>-8.7108013937282252</c:v>
                </c:pt>
                <c:pt idx="17">
                  <c:v>-8.1911262798634841</c:v>
                </c:pt>
                <c:pt idx="18">
                  <c:v>-8.0536912751677789</c:v>
                </c:pt>
                <c:pt idx="19">
                  <c:v>-7.7441077441077422</c:v>
                </c:pt>
                <c:pt idx="20">
                  <c:v>-7.6298701298701328</c:v>
                </c:pt>
                <c:pt idx="21">
                  <c:v>-7.7557755775577562</c:v>
                </c:pt>
                <c:pt idx="22">
                  <c:v>-7.7557755775577562</c:v>
                </c:pt>
                <c:pt idx="23">
                  <c:v>-8.4437086092715123</c:v>
                </c:pt>
                <c:pt idx="24">
                  <c:v>-8.6148648648648827</c:v>
                </c:pt>
                <c:pt idx="25">
                  <c:v>-9.2150170648464105</c:v>
                </c:pt>
                <c:pt idx="26">
                  <c:v>-10.278745644599306</c:v>
                </c:pt>
                <c:pt idx="27">
                  <c:v>-11.775362318840587</c:v>
                </c:pt>
                <c:pt idx="28">
                  <c:v>-13.167938931297691</c:v>
                </c:pt>
                <c:pt idx="29">
                  <c:v>-14.741035856573683</c:v>
                </c:pt>
                <c:pt idx="30">
                  <c:v>-17.364016736401677</c:v>
                </c:pt>
                <c:pt idx="31">
                  <c:v>-18.8940092165899</c:v>
                </c:pt>
                <c:pt idx="32">
                  <c:v>-20.560747663551357</c:v>
                </c:pt>
                <c:pt idx="33">
                  <c:v>-21.497584541062832</c:v>
                </c:pt>
                <c:pt idx="34">
                  <c:v>-20.098039215686306</c:v>
                </c:pt>
                <c:pt idx="35">
                  <c:v>-18.421052631578874</c:v>
                </c:pt>
                <c:pt idx="36">
                  <c:v>-17.272727272727312</c:v>
                </c:pt>
                <c:pt idx="37">
                  <c:v>-15.350877192982413</c:v>
                </c:pt>
                <c:pt idx="38">
                  <c:v>-14.435146443514688</c:v>
                </c:pt>
                <c:pt idx="39">
                  <c:v>-12.448979591836702</c:v>
                </c:pt>
                <c:pt idx="40">
                  <c:v>-11.494252873563251</c:v>
                </c:pt>
                <c:pt idx="41">
                  <c:v>-10.261194029850721</c:v>
                </c:pt>
                <c:pt idx="42">
                  <c:v>-9.139784946236551</c:v>
                </c:pt>
                <c:pt idx="43">
                  <c:v>-8.1597222222222694</c:v>
                </c:pt>
                <c:pt idx="44">
                  <c:v>-6.3758389261744908</c:v>
                </c:pt>
                <c:pt idx="45">
                  <c:v>-6.8965517241378995</c:v>
                </c:pt>
                <c:pt idx="46">
                  <c:v>-7.0512820512820742</c:v>
                </c:pt>
                <c:pt idx="47">
                  <c:v>-6.089743589743585</c:v>
                </c:pt>
                <c:pt idx="48">
                  <c:v>-6.0747663551402011</c:v>
                </c:pt>
                <c:pt idx="49">
                  <c:v>-5.4517133956386337</c:v>
                </c:pt>
                <c:pt idx="50">
                  <c:v>-4.8632218844984534</c:v>
                </c:pt>
                <c:pt idx="51">
                  <c:v>-4.7337278106508824</c:v>
                </c:pt>
                <c:pt idx="52">
                  <c:v>-4.7337278106508993</c:v>
                </c:pt>
                <c:pt idx="53">
                  <c:v>-3.994082840236679</c:v>
                </c:pt>
                <c:pt idx="54">
                  <c:v>-4.2979942693409718</c:v>
                </c:pt>
                <c:pt idx="55">
                  <c:v>-3.48837209302327</c:v>
                </c:pt>
                <c:pt idx="56">
                  <c:v>-3.501400560224079</c:v>
                </c:pt>
                <c:pt idx="57">
                  <c:v>-3.3802816901408659</c:v>
                </c:pt>
                <c:pt idx="58">
                  <c:v>-3.2033426183843776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15-436E-8194-99D1BA007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66831"/>
        <c:axId val="115134543"/>
      </c:scatterChart>
      <c:valAx>
        <c:axId val="87266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V (mL NaOH)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34543"/>
        <c:crossesAt val="-200"/>
        <c:crossBetween val="midCat"/>
        <c:minorUnit val="2.5"/>
      </c:valAx>
      <c:valAx>
        <c:axId val="115134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dU/dV (mV/mL NaOH)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66831"/>
        <c:crosses val="autoZero"/>
        <c:crossBetween val="midCat"/>
        <c:minorUnit val="25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U/V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'Sample 18 '!$A$2:$A$61</c:f>
              <c:numCache>
                <c:formatCode>General</c:formatCode>
                <c:ptCount val="60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1.2E-2</c:v>
                </c:pt>
                <c:pt idx="4">
                  <c:v>5.1999999999999998E-2</c:v>
                </c:pt>
                <c:pt idx="5">
                  <c:v>7.3999999999999996E-2</c:v>
                </c:pt>
                <c:pt idx="6">
                  <c:v>0.622</c:v>
                </c:pt>
                <c:pt idx="7">
                  <c:v>0.86799999999999999</c:v>
                </c:pt>
                <c:pt idx="8">
                  <c:v>1.1919999999999999</c:v>
                </c:pt>
                <c:pt idx="9">
                  <c:v>1.468</c:v>
                </c:pt>
                <c:pt idx="10">
                  <c:v>1.8580000000000001</c:v>
                </c:pt>
                <c:pt idx="11">
                  <c:v>2.2879999999999998</c:v>
                </c:pt>
                <c:pt idx="12">
                  <c:v>2.7360000000000002</c:v>
                </c:pt>
                <c:pt idx="13">
                  <c:v>3.21</c:v>
                </c:pt>
                <c:pt idx="14">
                  <c:v>3.7160000000000002</c:v>
                </c:pt>
                <c:pt idx="15">
                  <c:v>4.25</c:v>
                </c:pt>
                <c:pt idx="16">
                  <c:v>4.8</c:v>
                </c:pt>
                <c:pt idx="17">
                  <c:v>5.3739999999999997</c:v>
                </c:pt>
                <c:pt idx="18">
                  <c:v>5.96</c:v>
                </c:pt>
                <c:pt idx="19">
                  <c:v>6.556</c:v>
                </c:pt>
                <c:pt idx="20">
                  <c:v>7.15</c:v>
                </c:pt>
                <c:pt idx="21">
                  <c:v>7.766</c:v>
                </c:pt>
                <c:pt idx="22">
                  <c:v>8.3719999999999999</c:v>
                </c:pt>
                <c:pt idx="23">
                  <c:v>8.9779999999999998</c:v>
                </c:pt>
                <c:pt idx="24">
                  <c:v>9.5820000000000007</c:v>
                </c:pt>
                <c:pt idx="25">
                  <c:v>10.173999999999999</c:v>
                </c:pt>
                <c:pt idx="26">
                  <c:v>10.76</c:v>
                </c:pt>
                <c:pt idx="27">
                  <c:v>11.334</c:v>
                </c:pt>
                <c:pt idx="28">
                  <c:v>11.885999999999999</c:v>
                </c:pt>
                <c:pt idx="29">
                  <c:v>12.41</c:v>
                </c:pt>
                <c:pt idx="30">
                  <c:v>12.912000000000001</c:v>
                </c:pt>
                <c:pt idx="31">
                  <c:v>13.39</c:v>
                </c:pt>
                <c:pt idx="32">
                  <c:v>13.824</c:v>
                </c:pt>
                <c:pt idx="33">
                  <c:v>14.252000000000001</c:v>
                </c:pt>
                <c:pt idx="34">
                  <c:v>14.666</c:v>
                </c:pt>
                <c:pt idx="35">
                  <c:v>15.074</c:v>
                </c:pt>
                <c:pt idx="36">
                  <c:v>15.492000000000001</c:v>
                </c:pt>
                <c:pt idx="37">
                  <c:v>15.932</c:v>
                </c:pt>
                <c:pt idx="38">
                  <c:v>16.388000000000002</c:v>
                </c:pt>
                <c:pt idx="39">
                  <c:v>16.866</c:v>
                </c:pt>
                <c:pt idx="40">
                  <c:v>17.356000000000002</c:v>
                </c:pt>
                <c:pt idx="41">
                  <c:v>17.878</c:v>
                </c:pt>
                <c:pt idx="42">
                  <c:v>18.414000000000001</c:v>
                </c:pt>
                <c:pt idx="43">
                  <c:v>18.972000000000001</c:v>
                </c:pt>
                <c:pt idx="44">
                  <c:v>19.547999999999998</c:v>
                </c:pt>
                <c:pt idx="45">
                  <c:v>20.143999999999998</c:v>
                </c:pt>
                <c:pt idx="46">
                  <c:v>20.782</c:v>
                </c:pt>
                <c:pt idx="47">
                  <c:v>21.405999999999999</c:v>
                </c:pt>
                <c:pt idx="48">
                  <c:v>22.03</c:v>
                </c:pt>
                <c:pt idx="49">
                  <c:v>22.672000000000001</c:v>
                </c:pt>
                <c:pt idx="50">
                  <c:v>23.314</c:v>
                </c:pt>
                <c:pt idx="51">
                  <c:v>23.972000000000001</c:v>
                </c:pt>
                <c:pt idx="52">
                  <c:v>24.648</c:v>
                </c:pt>
                <c:pt idx="53">
                  <c:v>25.324000000000002</c:v>
                </c:pt>
                <c:pt idx="54">
                  <c:v>26</c:v>
                </c:pt>
                <c:pt idx="55">
                  <c:v>26.698</c:v>
                </c:pt>
                <c:pt idx="56">
                  <c:v>27.385999999999999</c:v>
                </c:pt>
                <c:pt idx="57">
                  <c:v>28.1</c:v>
                </c:pt>
                <c:pt idx="58">
                  <c:v>28.81</c:v>
                </c:pt>
                <c:pt idx="59">
                  <c:v>29.527999999999999</c:v>
                </c:pt>
              </c:numCache>
            </c:numRef>
          </c:xVal>
          <c:yVal>
            <c:numRef>
              <c:f>'Sample 18 '!$B$2:$B$61</c:f>
              <c:numCache>
                <c:formatCode>General</c:formatCode>
                <c:ptCount val="60"/>
                <c:pt idx="0">
                  <c:v>144.9</c:v>
                </c:pt>
                <c:pt idx="1">
                  <c:v>145.19999999999999</c:v>
                </c:pt>
                <c:pt idx="2">
                  <c:v>145.30000000000001</c:v>
                </c:pt>
                <c:pt idx="3">
                  <c:v>145.69999999999999</c:v>
                </c:pt>
                <c:pt idx="4">
                  <c:v>146.9</c:v>
                </c:pt>
                <c:pt idx="5">
                  <c:v>146.69999999999999</c:v>
                </c:pt>
                <c:pt idx="6">
                  <c:v>119.2</c:v>
                </c:pt>
                <c:pt idx="7">
                  <c:v>111.1</c:v>
                </c:pt>
                <c:pt idx="8">
                  <c:v>103</c:v>
                </c:pt>
                <c:pt idx="9">
                  <c:v>96.5</c:v>
                </c:pt>
                <c:pt idx="10">
                  <c:v>88.9</c:v>
                </c:pt>
                <c:pt idx="11">
                  <c:v>81.2</c:v>
                </c:pt>
                <c:pt idx="12">
                  <c:v>74.099999999999994</c:v>
                </c:pt>
                <c:pt idx="13">
                  <c:v>67.8</c:v>
                </c:pt>
                <c:pt idx="14">
                  <c:v>61.9</c:v>
                </c:pt>
                <c:pt idx="15">
                  <c:v>56.3</c:v>
                </c:pt>
                <c:pt idx="16">
                  <c:v>51.1</c:v>
                </c:pt>
                <c:pt idx="17">
                  <c:v>46.1</c:v>
                </c:pt>
                <c:pt idx="18">
                  <c:v>41.3</c:v>
                </c:pt>
                <c:pt idx="19">
                  <c:v>36.5</c:v>
                </c:pt>
                <c:pt idx="20">
                  <c:v>31.9</c:v>
                </c:pt>
                <c:pt idx="21">
                  <c:v>27.2</c:v>
                </c:pt>
                <c:pt idx="22">
                  <c:v>22.5</c:v>
                </c:pt>
                <c:pt idx="23">
                  <c:v>17.8</c:v>
                </c:pt>
                <c:pt idx="24">
                  <c:v>12.7</c:v>
                </c:pt>
                <c:pt idx="25">
                  <c:v>7.6</c:v>
                </c:pt>
                <c:pt idx="26">
                  <c:v>2.2000000000000002</c:v>
                </c:pt>
                <c:pt idx="27">
                  <c:v>-3.7</c:v>
                </c:pt>
                <c:pt idx="28">
                  <c:v>-10.199999999999999</c:v>
                </c:pt>
                <c:pt idx="29">
                  <c:v>-17.100000000000001</c:v>
                </c:pt>
                <c:pt idx="30">
                  <c:v>-24.5</c:v>
                </c:pt>
                <c:pt idx="31">
                  <c:v>-32.799999999999997</c:v>
                </c:pt>
                <c:pt idx="32">
                  <c:v>-41</c:v>
                </c:pt>
                <c:pt idx="33">
                  <c:v>-49.8</c:v>
                </c:pt>
                <c:pt idx="34">
                  <c:v>-58.7</c:v>
                </c:pt>
                <c:pt idx="35">
                  <c:v>-66.900000000000006</c:v>
                </c:pt>
                <c:pt idx="36">
                  <c:v>-74.599999999999994</c:v>
                </c:pt>
                <c:pt idx="37">
                  <c:v>-82.2</c:v>
                </c:pt>
                <c:pt idx="38">
                  <c:v>-89.2</c:v>
                </c:pt>
                <c:pt idx="39">
                  <c:v>-96.1</c:v>
                </c:pt>
                <c:pt idx="40">
                  <c:v>-102.2</c:v>
                </c:pt>
                <c:pt idx="41">
                  <c:v>-108.2</c:v>
                </c:pt>
                <c:pt idx="42">
                  <c:v>-113.7</c:v>
                </c:pt>
                <c:pt idx="43">
                  <c:v>-118.8</c:v>
                </c:pt>
                <c:pt idx="44">
                  <c:v>-123.5</c:v>
                </c:pt>
                <c:pt idx="45">
                  <c:v>-127.3</c:v>
                </c:pt>
                <c:pt idx="46">
                  <c:v>-131.69999999999999</c:v>
                </c:pt>
                <c:pt idx="47">
                  <c:v>-136.1</c:v>
                </c:pt>
                <c:pt idx="48">
                  <c:v>-139.9</c:v>
                </c:pt>
                <c:pt idx="49">
                  <c:v>-143.80000000000001</c:v>
                </c:pt>
                <c:pt idx="50">
                  <c:v>-147.30000000000001</c:v>
                </c:pt>
                <c:pt idx="51">
                  <c:v>-150.5</c:v>
                </c:pt>
                <c:pt idx="52">
                  <c:v>-153.69999999999999</c:v>
                </c:pt>
                <c:pt idx="53">
                  <c:v>-156.9</c:v>
                </c:pt>
                <c:pt idx="54">
                  <c:v>-159.6</c:v>
                </c:pt>
                <c:pt idx="55">
                  <c:v>-162.6</c:v>
                </c:pt>
                <c:pt idx="56">
                  <c:v>-165</c:v>
                </c:pt>
                <c:pt idx="57">
                  <c:v>-167.5</c:v>
                </c:pt>
                <c:pt idx="58">
                  <c:v>-169.9</c:v>
                </c:pt>
                <c:pt idx="59">
                  <c:v>-172.2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15-436E-8194-99D1BA007C1A}"/>
            </c:ext>
          </c:extLst>
        </c:ser>
        <c:ser>
          <c:idx val="1"/>
          <c:order val="1"/>
          <c:tx>
            <c:v>eq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'Sample 18 '!$E$17</c:f>
              <c:numCache>
                <c:formatCode>General</c:formatCode>
                <c:ptCount val="1"/>
                <c:pt idx="0">
                  <c:v>14.459</c:v>
                </c:pt>
              </c:numCache>
            </c:numRef>
          </c:xVal>
          <c:yVal>
            <c:numRef>
              <c:f>'Sample 18 '!$F$17</c:f>
              <c:numCache>
                <c:formatCode>General</c:formatCode>
                <c:ptCount val="1"/>
                <c:pt idx="0">
                  <c:v>-54.25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915-436E-8194-99D1BA007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66831"/>
        <c:axId val="115134543"/>
      </c:scatterChart>
      <c:valAx>
        <c:axId val="87266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 (mL NaOH)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34543"/>
        <c:crossesAt val="-200"/>
        <c:crossBetween val="midCat"/>
        <c:minorUnit val="2.5"/>
      </c:valAx>
      <c:valAx>
        <c:axId val="1151345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E"/>
                  <a:t>U (mV)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66831"/>
        <c:crosses val="autoZero"/>
        <c:crossBetween val="midCat"/>
        <c:minorUnit val="25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U/V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'Sample 18 Duplicate'!$A$2:$A$64</c:f>
              <c:numCache>
                <c:formatCode>General</c:formatCode>
                <c:ptCount val="63"/>
                <c:pt idx="0">
                  <c:v>0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1.2E-2</c:v>
                </c:pt>
                <c:pt idx="4">
                  <c:v>0.16400000000000001</c:v>
                </c:pt>
                <c:pt idx="5">
                  <c:v>0.2</c:v>
                </c:pt>
                <c:pt idx="6">
                  <c:v>0.376</c:v>
                </c:pt>
                <c:pt idx="7">
                  <c:v>0.60799999999999998</c:v>
                </c:pt>
                <c:pt idx="8">
                  <c:v>0.88600000000000001</c:v>
                </c:pt>
                <c:pt idx="9">
                  <c:v>1.204</c:v>
                </c:pt>
                <c:pt idx="10">
                  <c:v>1.5580000000000001</c:v>
                </c:pt>
                <c:pt idx="11">
                  <c:v>1.946</c:v>
                </c:pt>
                <c:pt idx="12">
                  <c:v>2.36</c:v>
                </c:pt>
                <c:pt idx="13">
                  <c:v>2.8</c:v>
                </c:pt>
                <c:pt idx="14">
                  <c:v>3.2519999999999998</c:v>
                </c:pt>
                <c:pt idx="15">
                  <c:v>3.7480000000000002</c:v>
                </c:pt>
                <c:pt idx="16">
                  <c:v>4.28</c:v>
                </c:pt>
                <c:pt idx="17">
                  <c:v>4.8280000000000003</c:v>
                </c:pt>
                <c:pt idx="18">
                  <c:v>5.3940000000000001</c:v>
                </c:pt>
                <c:pt idx="19">
                  <c:v>5.9720000000000004</c:v>
                </c:pt>
                <c:pt idx="20">
                  <c:v>6.56</c:v>
                </c:pt>
                <c:pt idx="21">
                  <c:v>7.1559999999999997</c:v>
                </c:pt>
                <c:pt idx="22">
                  <c:v>7.7539999999999996</c:v>
                </c:pt>
                <c:pt idx="23">
                  <c:v>8.3559999999999999</c:v>
                </c:pt>
                <c:pt idx="24">
                  <c:v>8.9580000000000002</c:v>
                </c:pt>
                <c:pt idx="25">
                  <c:v>9.5540000000000003</c:v>
                </c:pt>
                <c:pt idx="26">
                  <c:v>10.146000000000001</c:v>
                </c:pt>
                <c:pt idx="27">
                  <c:v>10.728</c:v>
                </c:pt>
                <c:pt idx="28">
                  <c:v>11.294</c:v>
                </c:pt>
                <c:pt idx="29">
                  <c:v>11.846</c:v>
                </c:pt>
                <c:pt idx="30">
                  <c:v>12.37</c:v>
                </c:pt>
                <c:pt idx="31">
                  <c:v>12.868</c:v>
                </c:pt>
                <c:pt idx="32">
                  <c:v>13.334</c:v>
                </c:pt>
                <c:pt idx="33">
                  <c:v>13.776</c:v>
                </c:pt>
                <c:pt idx="34">
                  <c:v>14.188000000000001</c:v>
                </c:pt>
                <c:pt idx="35">
                  <c:v>14.596</c:v>
                </c:pt>
                <c:pt idx="36">
                  <c:v>15.004</c:v>
                </c:pt>
                <c:pt idx="37">
                  <c:v>15.42</c:v>
                </c:pt>
                <c:pt idx="38">
                  <c:v>15.856</c:v>
                </c:pt>
                <c:pt idx="39">
                  <c:v>16.364000000000001</c:v>
                </c:pt>
                <c:pt idx="40">
                  <c:v>16.776</c:v>
                </c:pt>
                <c:pt idx="41">
                  <c:v>17.262</c:v>
                </c:pt>
                <c:pt idx="42">
                  <c:v>17.774000000000001</c:v>
                </c:pt>
                <c:pt idx="43">
                  <c:v>18.303999999999998</c:v>
                </c:pt>
                <c:pt idx="44">
                  <c:v>18.853999999999999</c:v>
                </c:pt>
                <c:pt idx="45">
                  <c:v>19.422000000000001</c:v>
                </c:pt>
                <c:pt idx="46">
                  <c:v>20.010000000000002</c:v>
                </c:pt>
                <c:pt idx="47">
                  <c:v>20.623999999999999</c:v>
                </c:pt>
                <c:pt idx="48">
                  <c:v>21.256</c:v>
                </c:pt>
                <c:pt idx="49">
                  <c:v>21.876000000000001</c:v>
                </c:pt>
                <c:pt idx="50">
                  <c:v>22.512</c:v>
                </c:pt>
                <c:pt idx="51">
                  <c:v>23.158000000000001</c:v>
                </c:pt>
                <c:pt idx="52">
                  <c:v>23.818000000000001</c:v>
                </c:pt>
                <c:pt idx="53">
                  <c:v>24.498000000000001</c:v>
                </c:pt>
                <c:pt idx="54">
                  <c:v>25.17</c:v>
                </c:pt>
                <c:pt idx="55">
                  <c:v>25.856000000000002</c:v>
                </c:pt>
                <c:pt idx="56">
                  <c:v>26.538</c:v>
                </c:pt>
                <c:pt idx="57">
                  <c:v>27.23</c:v>
                </c:pt>
                <c:pt idx="58">
                  <c:v>27.931999999999999</c:v>
                </c:pt>
                <c:pt idx="59">
                  <c:v>28.64</c:v>
                </c:pt>
                <c:pt idx="60">
                  <c:v>29.324000000000002</c:v>
                </c:pt>
                <c:pt idx="61">
                  <c:v>30.032</c:v>
                </c:pt>
                <c:pt idx="62">
                  <c:v>30.748000000000001</c:v>
                </c:pt>
              </c:numCache>
            </c:numRef>
          </c:xVal>
          <c:yVal>
            <c:numRef>
              <c:f>'Sample 18 Duplicate'!$B$2:$B$64</c:f>
              <c:numCache>
                <c:formatCode>General</c:formatCode>
                <c:ptCount val="63"/>
                <c:pt idx="0">
                  <c:v>158.69999999999999</c:v>
                </c:pt>
                <c:pt idx="1">
                  <c:v>158.80000000000001</c:v>
                </c:pt>
                <c:pt idx="2">
                  <c:v>159.1</c:v>
                </c:pt>
                <c:pt idx="3">
                  <c:v>159.4</c:v>
                </c:pt>
                <c:pt idx="4">
                  <c:v>153.69999999999999</c:v>
                </c:pt>
                <c:pt idx="5">
                  <c:v>150.9</c:v>
                </c:pt>
                <c:pt idx="6">
                  <c:v>141.19999999999999</c:v>
                </c:pt>
                <c:pt idx="7">
                  <c:v>131.5</c:v>
                </c:pt>
                <c:pt idx="8">
                  <c:v>122.2</c:v>
                </c:pt>
                <c:pt idx="9">
                  <c:v>113.11</c:v>
                </c:pt>
                <c:pt idx="10">
                  <c:v>104.7</c:v>
                </c:pt>
                <c:pt idx="11">
                  <c:v>96.4</c:v>
                </c:pt>
                <c:pt idx="12">
                  <c:v>88.8</c:v>
                </c:pt>
                <c:pt idx="13">
                  <c:v>81.099999999999994</c:v>
                </c:pt>
                <c:pt idx="14">
                  <c:v>74.7</c:v>
                </c:pt>
                <c:pt idx="15">
                  <c:v>68.900000000000006</c:v>
                </c:pt>
                <c:pt idx="16">
                  <c:v>63.2</c:v>
                </c:pt>
                <c:pt idx="17">
                  <c:v>57.8</c:v>
                </c:pt>
                <c:pt idx="18">
                  <c:v>52.6</c:v>
                </c:pt>
                <c:pt idx="19">
                  <c:v>47.7</c:v>
                </c:pt>
                <c:pt idx="20">
                  <c:v>42.8</c:v>
                </c:pt>
                <c:pt idx="21">
                  <c:v>38</c:v>
                </c:pt>
                <c:pt idx="22">
                  <c:v>33.200000000000003</c:v>
                </c:pt>
                <c:pt idx="23">
                  <c:v>28.4</c:v>
                </c:pt>
                <c:pt idx="24">
                  <c:v>23.5</c:v>
                </c:pt>
                <c:pt idx="25">
                  <c:v>18.399999999999999</c:v>
                </c:pt>
                <c:pt idx="26">
                  <c:v>13.2</c:v>
                </c:pt>
                <c:pt idx="27">
                  <c:v>7.6</c:v>
                </c:pt>
                <c:pt idx="28">
                  <c:v>1.7</c:v>
                </c:pt>
                <c:pt idx="29">
                  <c:v>-4.8</c:v>
                </c:pt>
                <c:pt idx="30">
                  <c:v>-11.8</c:v>
                </c:pt>
                <c:pt idx="31">
                  <c:v>-19.399999999999999</c:v>
                </c:pt>
                <c:pt idx="32">
                  <c:v>-27.5</c:v>
                </c:pt>
                <c:pt idx="33">
                  <c:v>-36.200000000000003</c:v>
                </c:pt>
                <c:pt idx="34">
                  <c:v>-44.9</c:v>
                </c:pt>
                <c:pt idx="35">
                  <c:v>-53.8</c:v>
                </c:pt>
                <c:pt idx="36">
                  <c:v>-62.2</c:v>
                </c:pt>
                <c:pt idx="37">
                  <c:v>-70</c:v>
                </c:pt>
                <c:pt idx="38">
                  <c:v>-77.900000000000006</c:v>
                </c:pt>
                <c:pt idx="39">
                  <c:v>-85</c:v>
                </c:pt>
                <c:pt idx="40">
                  <c:v>-92</c:v>
                </c:pt>
                <c:pt idx="41">
                  <c:v>-98.3</c:v>
                </c:pt>
                <c:pt idx="42">
                  <c:v>-104.4</c:v>
                </c:pt>
                <c:pt idx="43">
                  <c:v>-110</c:v>
                </c:pt>
                <c:pt idx="44">
                  <c:v>-115.3</c:v>
                </c:pt>
                <c:pt idx="45">
                  <c:v>-120.2</c:v>
                </c:pt>
                <c:pt idx="46">
                  <c:v>-124.5</c:v>
                </c:pt>
                <c:pt idx="47">
                  <c:v>-128.6</c:v>
                </c:pt>
                <c:pt idx="48">
                  <c:v>-133</c:v>
                </c:pt>
                <c:pt idx="49">
                  <c:v>-137</c:v>
                </c:pt>
                <c:pt idx="50">
                  <c:v>-140.80000000000001</c:v>
                </c:pt>
                <c:pt idx="51">
                  <c:v>-144.30000000000001</c:v>
                </c:pt>
                <c:pt idx="52">
                  <c:v>-147.4</c:v>
                </c:pt>
                <c:pt idx="53">
                  <c:v>-150.69999999999999</c:v>
                </c:pt>
                <c:pt idx="54">
                  <c:v>-153.69999999999999</c:v>
                </c:pt>
                <c:pt idx="55">
                  <c:v>-156.80000000000001</c:v>
                </c:pt>
                <c:pt idx="56">
                  <c:v>-159.6</c:v>
                </c:pt>
                <c:pt idx="57">
                  <c:v>-162.19999999999999</c:v>
                </c:pt>
                <c:pt idx="58">
                  <c:v>-164.8</c:v>
                </c:pt>
                <c:pt idx="59">
                  <c:v>-168</c:v>
                </c:pt>
                <c:pt idx="60">
                  <c:v>-170</c:v>
                </c:pt>
                <c:pt idx="61">
                  <c:v>-172.4</c:v>
                </c:pt>
                <c:pt idx="62">
                  <c:v>-174.7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23-438E-A51B-5D817A670AD5}"/>
            </c:ext>
          </c:extLst>
        </c:ser>
        <c:ser>
          <c:idx val="1"/>
          <c:order val="1"/>
          <c:tx>
            <c:v>eq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'Sample 18 Duplicate'!$F$8</c:f>
              <c:numCache>
                <c:formatCode>General</c:formatCode>
                <c:ptCount val="1"/>
                <c:pt idx="0">
                  <c:v>14.391999999999999</c:v>
                </c:pt>
              </c:numCache>
            </c:numRef>
          </c:xVal>
          <c:yVal>
            <c:numRef>
              <c:f>'Sample 18 Duplicate'!$G$8</c:f>
              <c:numCache>
                <c:formatCode>General</c:formatCode>
                <c:ptCount val="1"/>
                <c:pt idx="0">
                  <c:v>-49.349999999999994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23-438E-A51B-5D817A670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84367"/>
        <c:axId val="115053903"/>
      </c:scatterChart>
      <c:valAx>
        <c:axId val="93984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53903"/>
        <c:crosses val="autoZero"/>
        <c:crossBetween val="midCat"/>
      </c:valAx>
      <c:valAx>
        <c:axId val="115053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84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dU/dV over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'Sample 18 Duplicate'!$A$3:$A$64</c:f>
              <c:numCache>
                <c:formatCode>General</c:formatCode>
                <c:ptCount val="62"/>
                <c:pt idx="0">
                  <c:v>4.0000000000000001E-3</c:v>
                </c:pt>
                <c:pt idx="1">
                  <c:v>8.0000000000000002E-3</c:v>
                </c:pt>
                <c:pt idx="2">
                  <c:v>1.2E-2</c:v>
                </c:pt>
                <c:pt idx="3">
                  <c:v>0.16400000000000001</c:v>
                </c:pt>
                <c:pt idx="4">
                  <c:v>0.2</c:v>
                </c:pt>
                <c:pt idx="5">
                  <c:v>0.376</c:v>
                </c:pt>
                <c:pt idx="6">
                  <c:v>0.60799999999999998</c:v>
                </c:pt>
                <c:pt idx="7">
                  <c:v>0.88600000000000001</c:v>
                </c:pt>
                <c:pt idx="8">
                  <c:v>1.204</c:v>
                </c:pt>
                <c:pt idx="9">
                  <c:v>1.5580000000000001</c:v>
                </c:pt>
                <c:pt idx="10">
                  <c:v>1.946</c:v>
                </c:pt>
                <c:pt idx="11">
                  <c:v>2.36</c:v>
                </c:pt>
                <c:pt idx="12">
                  <c:v>2.8</c:v>
                </c:pt>
                <c:pt idx="13">
                  <c:v>3.2519999999999998</c:v>
                </c:pt>
                <c:pt idx="14">
                  <c:v>3.7480000000000002</c:v>
                </c:pt>
                <c:pt idx="15">
                  <c:v>4.28</c:v>
                </c:pt>
                <c:pt idx="16">
                  <c:v>4.8280000000000003</c:v>
                </c:pt>
                <c:pt idx="17">
                  <c:v>5.3940000000000001</c:v>
                </c:pt>
                <c:pt idx="18">
                  <c:v>5.9720000000000004</c:v>
                </c:pt>
                <c:pt idx="19">
                  <c:v>6.56</c:v>
                </c:pt>
                <c:pt idx="20">
                  <c:v>7.1559999999999997</c:v>
                </c:pt>
                <c:pt idx="21">
                  <c:v>7.7539999999999996</c:v>
                </c:pt>
                <c:pt idx="22">
                  <c:v>8.3559999999999999</c:v>
                </c:pt>
                <c:pt idx="23">
                  <c:v>8.9580000000000002</c:v>
                </c:pt>
                <c:pt idx="24">
                  <c:v>9.5540000000000003</c:v>
                </c:pt>
                <c:pt idx="25">
                  <c:v>10.146000000000001</c:v>
                </c:pt>
                <c:pt idx="26">
                  <c:v>10.728</c:v>
                </c:pt>
                <c:pt idx="27">
                  <c:v>11.294</c:v>
                </c:pt>
                <c:pt idx="28">
                  <c:v>11.846</c:v>
                </c:pt>
                <c:pt idx="29">
                  <c:v>12.37</c:v>
                </c:pt>
                <c:pt idx="30">
                  <c:v>12.868</c:v>
                </c:pt>
                <c:pt idx="31">
                  <c:v>13.334</c:v>
                </c:pt>
                <c:pt idx="32">
                  <c:v>13.776</c:v>
                </c:pt>
                <c:pt idx="33">
                  <c:v>14.188000000000001</c:v>
                </c:pt>
                <c:pt idx="34">
                  <c:v>14.596</c:v>
                </c:pt>
                <c:pt idx="35">
                  <c:v>15.004</c:v>
                </c:pt>
                <c:pt idx="36">
                  <c:v>15.42</c:v>
                </c:pt>
                <c:pt idx="37">
                  <c:v>15.856</c:v>
                </c:pt>
                <c:pt idx="38">
                  <c:v>16.364000000000001</c:v>
                </c:pt>
                <c:pt idx="39">
                  <c:v>16.776</c:v>
                </c:pt>
                <c:pt idx="40">
                  <c:v>17.262</c:v>
                </c:pt>
                <c:pt idx="41">
                  <c:v>17.774000000000001</c:v>
                </c:pt>
                <c:pt idx="42">
                  <c:v>18.303999999999998</c:v>
                </c:pt>
                <c:pt idx="43">
                  <c:v>18.853999999999999</c:v>
                </c:pt>
                <c:pt idx="44">
                  <c:v>19.422000000000001</c:v>
                </c:pt>
                <c:pt idx="45">
                  <c:v>20.010000000000002</c:v>
                </c:pt>
                <c:pt idx="46">
                  <c:v>20.623999999999999</c:v>
                </c:pt>
                <c:pt idx="47">
                  <c:v>21.256</c:v>
                </c:pt>
                <c:pt idx="48">
                  <c:v>21.876000000000001</c:v>
                </c:pt>
                <c:pt idx="49">
                  <c:v>22.512</c:v>
                </c:pt>
                <c:pt idx="50">
                  <c:v>23.158000000000001</c:v>
                </c:pt>
                <c:pt idx="51">
                  <c:v>23.818000000000001</c:v>
                </c:pt>
                <c:pt idx="52">
                  <c:v>24.498000000000001</c:v>
                </c:pt>
                <c:pt idx="53">
                  <c:v>25.17</c:v>
                </c:pt>
                <c:pt idx="54">
                  <c:v>25.856000000000002</c:v>
                </c:pt>
                <c:pt idx="55">
                  <c:v>26.538</c:v>
                </c:pt>
                <c:pt idx="56">
                  <c:v>27.23</c:v>
                </c:pt>
                <c:pt idx="57">
                  <c:v>27.931999999999999</c:v>
                </c:pt>
                <c:pt idx="58">
                  <c:v>28.64</c:v>
                </c:pt>
                <c:pt idx="59">
                  <c:v>29.324000000000002</c:v>
                </c:pt>
                <c:pt idx="60">
                  <c:v>30.032</c:v>
                </c:pt>
                <c:pt idx="61">
                  <c:v>30.748000000000001</c:v>
                </c:pt>
              </c:numCache>
            </c:numRef>
          </c:xVal>
          <c:yVal>
            <c:numRef>
              <c:f>'Sample 18 Duplicate'!$C$3:$C$64</c:f>
              <c:numCache>
                <c:formatCode>General</c:formatCode>
                <c:ptCount val="62"/>
                <c:pt idx="0">
                  <c:v>25.000000000005684</c:v>
                </c:pt>
                <c:pt idx="1">
                  <c:v>74.999999999995737</c:v>
                </c:pt>
                <c:pt idx="2">
                  <c:v>75.000000000002842</c:v>
                </c:pt>
                <c:pt idx="3">
                  <c:v>-37.500000000000114</c:v>
                </c:pt>
                <c:pt idx="4">
                  <c:v>-77.777777777777288</c:v>
                </c:pt>
                <c:pt idx="5">
                  <c:v>-55.113636363636466</c:v>
                </c:pt>
                <c:pt idx="6">
                  <c:v>-41.810344827586164</c:v>
                </c:pt>
                <c:pt idx="7">
                  <c:v>-33.453237410071928</c:v>
                </c:pt>
                <c:pt idx="8">
                  <c:v>-28.584905660377373</c:v>
                </c:pt>
                <c:pt idx="9">
                  <c:v>-23.75706214689264</c:v>
                </c:pt>
                <c:pt idx="10">
                  <c:v>-21.391752577319586</c:v>
                </c:pt>
                <c:pt idx="11">
                  <c:v>-18.357487922705339</c:v>
                </c:pt>
                <c:pt idx="12">
                  <c:v>-17.500000000000007</c:v>
                </c:pt>
                <c:pt idx="13">
                  <c:v>-14.159292035398213</c:v>
                </c:pt>
                <c:pt idx="14">
                  <c:v>-11.693548387096758</c:v>
                </c:pt>
                <c:pt idx="15">
                  <c:v>-10.714285714285719</c:v>
                </c:pt>
                <c:pt idx="16">
                  <c:v>-9.8540145985401555</c:v>
                </c:pt>
                <c:pt idx="17">
                  <c:v>-9.1872791519434589</c:v>
                </c:pt>
                <c:pt idx="18">
                  <c:v>-8.4775086505190238</c:v>
                </c:pt>
                <c:pt idx="19">
                  <c:v>-8.3333333333333552</c:v>
                </c:pt>
                <c:pt idx="20">
                  <c:v>-8.0536912751677789</c:v>
                </c:pt>
                <c:pt idx="21">
                  <c:v>-8.0267558528428058</c:v>
                </c:pt>
                <c:pt idx="22">
                  <c:v>-7.9734219269103024</c:v>
                </c:pt>
                <c:pt idx="23">
                  <c:v>-8.1395348837209234</c:v>
                </c:pt>
                <c:pt idx="24">
                  <c:v>-8.5570469798657722</c:v>
                </c:pt>
                <c:pt idx="25">
                  <c:v>-8.7837837837837753</c:v>
                </c:pt>
                <c:pt idx="26">
                  <c:v>-9.6219931271477837</c:v>
                </c:pt>
                <c:pt idx="27">
                  <c:v>-10.424028268551222</c:v>
                </c:pt>
                <c:pt idx="28">
                  <c:v>-11.775362318840589</c:v>
                </c:pt>
                <c:pt idx="29">
                  <c:v>-13.358778625954223</c:v>
                </c:pt>
                <c:pt idx="30">
                  <c:v>-15.26104417670679</c:v>
                </c:pt>
                <c:pt idx="31">
                  <c:v>-17.381974248927069</c:v>
                </c:pt>
                <c:pt idx="32">
                  <c:v>-19.683257918552034</c:v>
                </c:pt>
                <c:pt idx="33">
                  <c:v>-21.11650485436888</c:v>
                </c:pt>
                <c:pt idx="34">
                  <c:v>-21.813725490196102</c:v>
                </c:pt>
                <c:pt idx="35">
                  <c:v>-20.588235294117688</c:v>
                </c:pt>
                <c:pt idx="36">
                  <c:v>-18.749999999999975</c:v>
                </c:pt>
                <c:pt idx="37">
                  <c:v>-18.119266055045887</c:v>
                </c:pt>
                <c:pt idx="38">
                  <c:v>-13.97637795275587</c:v>
                </c:pt>
                <c:pt idx="39">
                  <c:v>-16.990291262135962</c:v>
                </c:pt>
                <c:pt idx="40">
                  <c:v>-12.962962962962939</c:v>
                </c:pt>
                <c:pt idx="41">
                  <c:v>-11.914062500000005</c:v>
                </c:pt>
                <c:pt idx="42">
                  <c:v>-10.566037735849093</c:v>
                </c:pt>
                <c:pt idx="43">
                  <c:v>-9.6363636363636189</c:v>
                </c:pt>
                <c:pt idx="44">
                  <c:v>-8.6267605633802713</c:v>
                </c:pt>
                <c:pt idx="45">
                  <c:v>-7.3129251700680102</c:v>
                </c:pt>
                <c:pt idx="46">
                  <c:v>-6.6775244299674474</c:v>
                </c:pt>
                <c:pt idx="47">
                  <c:v>-6.9620253164556889</c:v>
                </c:pt>
                <c:pt idx="48">
                  <c:v>-6.4516129032257963</c:v>
                </c:pt>
                <c:pt idx="49">
                  <c:v>-5.9748427672956224</c:v>
                </c:pt>
                <c:pt idx="50">
                  <c:v>-5.4179566563467425</c:v>
                </c:pt>
                <c:pt idx="51">
                  <c:v>-4.6969696969696875</c:v>
                </c:pt>
                <c:pt idx="52">
                  <c:v>-4.8529411764705648</c:v>
                </c:pt>
                <c:pt idx="53">
                  <c:v>-4.46428571428571</c:v>
                </c:pt>
                <c:pt idx="54">
                  <c:v>-4.5189504373178178</c:v>
                </c:pt>
                <c:pt idx="55">
                  <c:v>-4.1055718475073144</c:v>
                </c:pt>
                <c:pt idx="56">
                  <c:v>-3.7572254335260022</c:v>
                </c:pt>
                <c:pt idx="57">
                  <c:v>-3.7037037037037459</c:v>
                </c:pt>
                <c:pt idx="58">
                  <c:v>-4.5197740112994067</c:v>
                </c:pt>
                <c:pt idx="59">
                  <c:v>-2.9239766081871301</c:v>
                </c:pt>
                <c:pt idx="60">
                  <c:v>-3.3898305084745921</c:v>
                </c:pt>
                <c:pt idx="61">
                  <c:v>-3.2122905027932673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67-4169-8A28-D12E55EFF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458031"/>
        <c:axId val="115128783"/>
      </c:scatterChart>
      <c:valAx>
        <c:axId val="25645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28783"/>
        <c:crosses val="autoZero"/>
        <c:crossBetween val="midCat"/>
      </c:valAx>
      <c:valAx>
        <c:axId val="11512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4580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U/V</a:t>
            </a:r>
          </a:p>
          <a:p>
            <a:pPr>
              <a:defRPr/>
            </a:pPr>
            <a:endParaRPr lang="en-I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'Sample 260720'!$A$2:$A$47</c:f>
              <c:numCache>
                <c:formatCode>General</c:formatCode>
                <c:ptCount val="46"/>
                <c:pt idx="0">
                  <c:v>0</c:v>
                </c:pt>
                <c:pt idx="1">
                  <c:v>0.73</c:v>
                </c:pt>
                <c:pt idx="2">
                  <c:v>0.94199999999999995</c:v>
                </c:pt>
                <c:pt idx="3">
                  <c:v>1.036</c:v>
                </c:pt>
                <c:pt idx="4">
                  <c:v>1.276</c:v>
                </c:pt>
                <c:pt idx="5">
                  <c:v>1.6339999999999999</c:v>
                </c:pt>
                <c:pt idx="6">
                  <c:v>2.024</c:v>
                </c:pt>
                <c:pt idx="7">
                  <c:v>2.444</c:v>
                </c:pt>
                <c:pt idx="8">
                  <c:v>2.91</c:v>
                </c:pt>
                <c:pt idx="9">
                  <c:v>3.3940000000000001</c:v>
                </c:pt>
                <c:pt idx="10">
                  <c:v>3.9180000000000001</c:v>
                </c:pt>
                <c:pt idx="11">
                  <c:v>4.4560000000000004</c:v>
                </c:pt>
                <c:pt idx="12">
                  <c:v>5.0179999999999998</c:v>
                </c:pt>
                <c:pt idx="13">
                  <c:v>5.5979999999999999</c:v>
                </c:pt>
                <c:pt idx="14">
                  <c:v>6.1619999999999999</c:v>
                </c:pt>
                <c:pt idx="15">
                  <c:v>6.7359999999999998</c:v>
                </c:pt>
                <c:pt idx="16">
                  <c:v>7.3179999999999996</c:v>
                </c:pt>
                <c:pt idx="17">
                  <c:v>7.8819999999999997</c:v>
                </c:pt>
                <c:pt idx="18">
                  <c:v>8.4239999999999995</c:v>
                </c:pt>
                <c:pt idx="19">
                  <c:v>8.9740000000000002</c:v>
                </c:pt>
                <c:pt idx="20">
                  <c:v>9.4740000000000002</c:v>
                </c:pt>
                <c:pt idx="21">
                  <c:v>9.968</c:v>
                </c:pt>
                <c:pt idx="22">
                  <c:v>10.406000000000001</c:v>
                </c:pt>
                <c:pt idx="23">
                  <c:v>10.74</c:v>
                </c:pt>
                <c:pt idx="24">
                  <c:v>11.2</c:v>
                </c:pt>
                <c:pt idx="25">
                  <c:v>11.554</c:v>
                </c:pt>
                <c:pt idx="26">
                  <c:v>11.904</c:v>
                </c:pt>
                <c:pt idx="27">
                  <c:v>12.254</c:v>
                </c:pt>
                <c:pt idx="28">
                  <c:v>12.608000000000001</c:v>
                </c:pt>
                <c:pt idx="29">
                  <c:v>12.965999999999999</c:v>
                </c:pt>
                <c:pt idx="30">
                  <c:v>13.37</c:v>
                </c:pt>
                <c:pt idx="31">
                  <c:v>13.79</c:v>
                </c:pt>
                <c:pt idx="32">
                  <c:v>14.231999999999999</c:v>
                </c:pt>
                <c:pt idx="33">
                  <c:v>14.71</c:v>
                </c:pt>
                <c:pt idx="34">
                  <c:v>15.215999999999999</c:v>
                </c:pt>
                <c:pt idx="35">
                  <c:v>15.744</c:v>
                </c:pt>
                <c:pt idx="36">
                  <c:v>16.288</c:v>
                </c:pt>
                <c:pt idx="37">
                  <c:v>16.853999999999999</c:v>
                </c:pt>
                <c:pt idx="38">
                  <c:v>17.440000000000001</c:v>
                </c:pt>
                <c:pt idx="39">
                  <c:v>18.036000000000001</c:v>
                </c:pt>
                <c:pt idx="40">
                  <c:v>18.652000000000001</c:v>
                </c:pt>
                <c:pt idx="41">
                  <c:v>19.920000000000002</c:v>
                </c:pt>
                <c:pt idx="42">
                  <c:v>21.263999999999999</c:v>
                </c:pt>
                <c:pt idx="43">
                  <c:v>22.57</c:v>
                </c:pt>
                <c:pt idx="44">
                  <c:v>23.922000000000001</c:v>
                </c:pt>
                <c:pt idx="45">
                  <c:v>26.678000000000001</c:v>
                </c:pt>
              </c:numCache>
            </c:numRef>
          </c:xVal>
          <c:yVal>
            <c:numRef>
              <c:f>'Sample 260720'!$B$2:$B$47</c:f>
              <c:numCache>
                <c:formatCode>General</c:formatCode>
                <c:ptCount val="46"/>
                <c:pt idx="0">
                  <c:v>154.30000000000001</c:v>
                </c:pt>
                <c:pt idx="1">
                  <c:v>112.2</c:v>
                </c:pt>
                <c:pt idx="2">
                  <c:v>103.8</c:v>
                </c:pt>
                <c:pt idx="3">
                  <c:v>100.9</c:v>
                </c:pt>
                <c:pt idx="4">
                  <c:v>94.3</c:v>
                </c:pt>
                <c:pt idx="5">
                  <c:v>85.8</c:v>
                </c:pt>
                <c:pt idx="6">
                  <c:v>77.8</c:v>
                </c:pt>
                <c:pt idx="7">
                  <c:v>70.900000000000006</c:v>
                </c:pt>
                <c:pt idx="8">
                  <c:v>64</c:v>
                </c:pt>
                <c:pt idx="9">
                  <c:v>58.1</c:v>
                </c:pt>
                <c:pt idx="10">
                  <c:v>52.1</c:v>
                </c:pt>
                <c:pt idx="11">
                  <c:v>46.7</c:v>
                </c:pt>
                <c:pt idx="12">
                  <c:v>41.7</c:v>
                </c:pt>
                <c:pt idx="13">
                  <c:v>36</c:v>
                </c:pt>
                <c:pt idx="14">
                  <c:v>30.7</c:v>
                </c:pt>
                <c:pt idx="15">
                  <c:v>25.5</c:v>
                </c:pt>
                <c:pt idx="16">
                  <c:v>19.899999999999999</c:v>
                </c:pt>
                <c:pt idx="17">
                  <c:v>13.7</c:v>
                </c:pt>
                <c:pt idx="18">
                  <c:v>7.9</c:v>
                </c:pt>
                <c:pt idx="19">
                  <c:v>0.9</c:v>
                </c:pt>
                <c:pt idx="20">
                  <c:v>-6</c:v>
                </c:pt>
                <c:pt idx="21">
                  <c:v>-14.3</c:v>
                </c:pt>
                <c:pt idx="22">
                  <c:v>-22.3</c:v>
                </c:pt>
                <c:pt idx="23">
                  <c:v>-32.1</c:v>
                </c:pt>
                <c:pt idx="24">
                  <c:v>-41.4</c:v>
                </c:pt>
                <c:pt idx="25">
                  <c:v>-51.2</c:v>
                </c:pt>
                <c:pt idx="26">
                  <c:v>-61.3</c:v>
                </c:pt>
                <c:pt idx="27">
                  <c:v>-71.2</c:v>
                </c:pt>
                <c:pt idx="28">
                  <c:v>-80.099999999999994</c:v>
                </c:pt>
                <c:pt idx="29">
                  <c:v>-88</c:v>
                </c:pt>
                <c:pt idx="30">
                  <c:v>-96</c:v>
                </c:pt>
                <c:pt idx="31">
                  <c:v>-104</c:v>
                </c:pt>
                <c:pt idx="32">
                  <c:v>-110.8</c:v>
                </c:pt>
                <c:pt idx="33">
                  <c:v>-117.2</c:v>
                </c:pt>
                <c:pt idx="34">
                  <c:v>-123.3</c:v>
                </c:pt>
                <c:pt idx="35">
                  <c:v>-129.1</c:v>
                </c:pt>
                <c:pt idx="36">
                  <c:v>-134.4</c:v>
                </c:pt>
                <c:pt idx="37">
                  <c:v>-139.30000000000001</c:v>
                </c:pt>
                <c:pt idx="38">
                  <c:v>-144.1</c:v>
                </c:pt>
                <c:pt idx="39">
                  <c:v>-148.5</c:v>
                </c:pt>
                <c:pt idx="40">
                  <c:v>-152.4</c:v>
                </c:pt>
                <c:pt idx="41">
                  <c:v>-160.19999999999999</c:v>
                </c:pt>
                <c:pt idx="42">
                  <c:v>-167.2</c:v>
                </c:pt>
                <c:pt idx="43">
                  <c:v>-173.9</c:v>
                </c:pt>
                <c:pt idx="44">
                  <c:v>-179.7</c:v>
                </c:pt>
                <c:pt idx="45">
                  <c:v>-191.5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AD-49BA-9DC2-643D9A515043}"/>
            </c:ext>
          </c:extLst>
        </c:ser>
        <c:ser>
          <c:idx val="1"/>
          <c:order val="1"/>
          <c:tx>
            <c:v>eq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'Sample 260720'!$E$7</c:f>
              <c:numCache>
                <c:formatCode>General</c:formatCode>
                <c:ptCount val="1"/>
                <c:pt idx="0">
                  <c:v>11.728999999999999</c:v>
                </c:pt>
              </c:numCache>
            </c:numRef>
          </c:xVal>
          <c:yVal>
            <c:numRef>
              <c:f>'Sample 260720'!$F$7</c:f>
              <c:numCache>
                <c:formatCode>General</c:formatCode>
                <c:ptCount val="1"/>
                <c:pt idx="0">
                  <c:v>-56.25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AD-49BA-9DC2-643D9A515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32383"/>
        <c:axId val="115045263"/>
      </c:scatterChart>
      <c:valAx>
        <c:axId val="7332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45263"/>
        <c:crosses val="autoZero"/>
        <c:crossBetween val="midCat"/>
      </c:valAx>
      <c:valAx>
        <c:axId val="11504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23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dU/dV over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'Sample 260720'!$A$3:$A$47</c:f>
              <c:numCache>
                <c:formatCode>General</c:formatCode>
                <c:ptCount val="45"/>
                <c:pt idx="0">
                  <c:v>0.73</c:v>
                </c:pt>
                <c:pt idx="1">
                  <c:v>0.94199999999999995</c:v>
                </c:pt>
                <c:pt idx="2">
                  <c:v>1.036</c:v>
                </c:pt>
                <c:pt idx="3">
                  <c:v>1.276</c:v>
                </c:pt>
                <c:pt idx="4">
                  <c:v>1.6339999999999999</c:v>
                </c:pt>
                <c:pt idx="5">
                  <c:v>2.024</c:v>
                </c:pt>
                <c:pt idx="6">
                  <c:v>2.444</c:v>
                </c:pt>
                <c:pt idx="7">
                  <c:v>2.91</c:v>
                </c:pt>
                <c:pt idx="8">
                  <c:v>3.3940000000000001</c:v>
                </c:pt>
                <c:pt idx="9">
                  <c:v>3.9180000000000001</c:v>
                </c:pt>
                <c:pt idx="10">
                  <c:v>4.4560000000000004</c:v>
                </c:pt>
                <c:pt idx="11">
                  <c:v>5.0179999999999998</c:v>
                </c:pt>
                <c:pt idx="12">
                  <c:v>5.5979999999999999</c:v>
                </c:pt>
                <c:pt idx="13">
                  <c:v>6.1619999999999999</c:v>
                </c:pt>
                <c:pt idx="14">
                  <c:v>6.7359999999999998</c:v>
                </c:pt>
                <c:pt idx="15">
                  <c:v>7.3179999999999996</c:v>
                </c:pt>
                <c:pt idx="16">
                  <c:v>7.8819999999999997</c:v>
                </c:pt>
                <c:pt idx="17">
                  <c:v>8.4239999999999995</c:v>
                </c:pt>
                <c:pt idx="18">
                  <c:v>8.9740000000000002</c:v>
                </c:pt>
                <c:pt idx="19">
                  <c:v>9.4740000000000002</c:v>
                </c:pt>
                <c:pt idx="20">
                  <c:v>9.968</c:v>
                </c:pt>
                <c:pt idx="21">
                  <c:v>10.406000000000001</c:v>
                </c:pt>
                <c:pt idx="22">
                  <c:v>10.74</c:v>
                </c:pt>
                <c:pt idx="23">
                  <c:v>11.2</c:v>
                </c:pt>
                <c:pt idx="24">
                  <c:v>11.554</c:v>
                </c:pt>
                <c:pt idx="25">
                  <c:v>11.904</c:v>
                </c:pt>
                <c:pt idx="26">
                  <c:v>12.254</c:v>
                </c:pt>
                <c:pt idx="27">
                  <c:v>12.608000000000001</c:v>
                </c:pt>
                <c:pt idx="28">
                  <c:v>12.965999999999999</c:v>
                </c:pt>
                <c:pt idx="29">
                  <c:v>13.37</c:v>
                </c:pt>
                <c:pt idx="30">
                  <c:v>13.79</c:v>
                </c:pt>
                <c:pt idx="31">
                  <c:v>14.231999999999999</c:v>
                </c:pt>
                <c:pt idx="32">
                  <c:v>14.71</c:v>
                </c:pt>
                <c:pt idx="33">
                  <c:v>15.215999999999999</c:v>
                </c:pt>
                <c:pt idx="34">
                  <c:v>15.744</c:v>
                </c:pt>
                <c:pt idx="35">
                  <c:v>16.288</c:v>
                </c:pt>
                <c:pt idx="36">
                  <c:v>16.853999999999999</c:v>
                </c:pt>
                <c:pt idx="37">
                  <c:v>17.440000000000001</c:v>
                </c:pt>
                <c:pt idx="38">
                  <c:v>18.036000000000001</c:v>
                </c:pt>
                <c:pt idx="39">
                  <c:v>18.652000000000001</c:v>
                </c:pt>
                <c:pt idx="40">
                  <c:v>19.920000000000002</c:v>
                </c:pt>
                <c:pt idx="41">
                  <c:v>21.263999999999999</c:v>
                </c:pt>
                <c:pt idx="42">
                  <c:v>22.57</c:v>
                </c:pt>
                <c:pt idx="43">
                  <c:v>23.922000000000001</c:v>
                </c:pt>
                <c:pt idx="44">
                  <c:v>26.678000000000001</c:v>
                </c:pt>
              </c:numCache>
            </c:numRef>
          </c:xVal>
          <c:yVal>
            <c:numRef>
              <c:f>'Sample 260720'!$C$3:$C$47</c:f>
              <c:numCache>
                <c:formatCode>General</c:formatCode>
                <c:ptCount val="45"/>
                <c:pt idx="0">
                  <c:v>-57.671232876712345</c:v>
                </c:pt>
                <c:pt idx="1">
                  <c:v>-39.622641509433997</c:v>
                </c:pt>
                <c:pt idx="2">
                  <c:v>-30.851063829787115</c:v>
                </c:pt>
                <c:pt idx="3">
                  <c:v>-27.500000000000036</c:v>
                </c:pt>
                <c:pt idx="4">
                  <c:v>-23.743016759776545</c:v>
                </c:pt>
                <c:pt idx="5">
                  <c:v>-20.512820512820507</c:v>
                </c:pt>
                <c:pt idx="6">
                  <c:v>-16.428571428571409</c:v>
                </c:pt>
                <c:pt idx="7">
                  <c:v>-14.806866952789706</c:v>
                </c:pt>
                <c:pt idx="8">
                  <c:v>-12.190082644628097</c:v>
                </c:pt>
                <c:pt idx="9">
                  <c:v>-11.450381679389313</c:v>
                </c:pt>
                <c:pt idx="10">
                  <c:v>-10.037174721189583</c:v>
                </c:pt>
                <c:pt idx="11">
                  <c:v>-8.8967971530249201</c:v>
                </c:pt>
                <c:pt idx="12">
                  <c:v>-9.8275862068965552</c:v>
                </c:pt>
                <c:pt idx="13">
                  <c:v>-9.3971631205673756</c:v>
                </c:pt>
                <c:pt idx="14">
                  <c:v>-9.0592334494773539</c:v>
                </c:pt>
                <c:pt idx="15">
                  <c:v>-9.6219931271477712</c:v>
                </c:pt>
                <c:pt idx="16">
                  <c:v>-10.992907801418438</c:v>
                </c:pt>
                <c:pt idx="17">
                  <c:v>-10.701107011070112</c:v>
                </c:pt>
                <c:pt idx="18">
                  <c:v>-12.727272727272711</c:v>
                </c:pt>
                <c:pt idx="19">
                  <c:v>-13.8</c:v>
                </c:pt>
                <c:pt idx="20">
                  <c:v>-16.80161943319839</c:v>
                </c:pt>
                <c:pt idx="21">
                  <c:v>-18.264840182648378</c:v>
                </c:pt>
                <c:pt idx="22">
                  <c:v>-29.341317365269497</c:v>
                </c:pt>
                <c:pt idx="23">
                  <c:v>-20.21739130434786</c:v>
                </c:pt>
                <c:pt idx="24">
                  <c:v>-27.683615819208974</c:v>
                </c:pt>
                <c:pt idx="25">
                  <c:v>-28.857142857142872</c:v>
                </c:pt>
                <c:pt idx="26">
                  <c:v>-28.285714285714331</c:v>
                </c:pt>
                <c:pt idx="27">
                  <c:v>-25.141242937853015</c:v>
                </c:pt>
                <c:pt idx="28">
                  <c:v>-22.067039106145344</c:v>
                </c:pt>
                <c:pt idx="29">
                  <c:v>-19.801980198019805</c:v>
                </c:pt>
                <c:pt idx="30">
                  <c:v>-19.047619047619051</c:v>
                </c:pt>
                <c:pt idx="31">
                  <c:v>-15.384615384615373</c:v>
                </c:pt>
                <c:pt idx="32">
                  <c:v>-13.389121338912103</c:v>
                </c:pt>
                <c:pt idx="33">
                  <c:v>-12.055335968379472</c:v>
                </c:pt>
                <c:pt idx="34">
                  <c:v>-10.98484848484847</c:v>
                </c:pt>
                <c:pt idx="35">
                  <c:v>-9.7426470588235414</c:v>
                </c:pt>
                <c:pt idx="36">
                  <c:v>-8.6572438162544429</c:v>
                </c:pt>
                <c:pt idx="37">
                  <c:v>-8.1911262798634237</c:v>
                </c:pt>
                <c:pt idx="38">
                  <c:v>-7.3825503355704782</c:v>
                </c:pt>
                <c:pt idx="39">
                  <c:v>-6.3311688311688439</c:v>
                </c:pt>
                <c:pt idx="40">
                  <c:v>-6.1514195583596045</c:v>
                </c:pt>
                <c:pt idx="41">
                  <c:v>-5.2083333333333428</c:v>
                </c:pt>
                <c:pt idx="42">
                  <c:v>-5.1301684532925051</c:v>
                </c:pt>
                <c:pt idx="43">
                  <c:v>-4.2899408284023535</c:v>
                </c:pt>
                <c:pt idx="44">
                  <c:v>-4.2815674891146625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93-4C13-8C53-2275D05A7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439871"/>
        <c:axId val="115076943"/>
      </c:scatterChart>
      <c:valAx>
        <c:axId val="26943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076943"/>
        <c:crosses val="autoZero"/>
        <c:crossBetween val="midCat"/>
      </c:valAx>
      <c:valAx>
        <c:axId val="11507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439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U/V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'Sample 260720 Duplicate'!$A$2:$A$20</c:f>
              <c:numCache>
                <c:formatCode>General</c:formatCode>
                <c:ptCount val="19"/>
                <c:pt idx="0">
                  <c:v>9.0939999999999994</c:v>
                </c:pt>
                <c:pt idx="1">
                  <c:v>9.6440000000000001</c:v>
                </c:pt>
                <c:pt idx="2">
                  <c:v>10.167999999999999</c:v>
                </c:pt>
                <c:pt idx="3">
                  <c:v>10.667999999999999</c:v>
                </c:pt>
                <c:pt idx="4">
                  <c:v>11.116</c:v>
                </c:pt>
                <c:pt idx="5">
                  <c:v>11.536</c:v>
                </c:pt>
                <c:pt idx="6">
                  <c:v>11.923999999999999</c:v>
                </c:pt>
                <c:pt idx="7">
                  <c:v>12.272</c:v>
                </c:pt>
                <c:pt idx="8">
                  <c:v>12.62</c:v>
                </c:pt>
                <c:pt idx="9">
                  <c:v>12.981999999999999</c:v>
                </c:pt>
                <c:pt idx="10">
                  <c:v>13.352</c:v>
                </c:pt>
                <c:pt idx="11">
                  <c:v>13.731999999999999</c:v>
                </c:pt>
                <c:pt idx="12">
                  <c:v>14.144</c:v>
                </c:pt>
                <c:pt idx="13">
                  <c:v>14.574</c:v>
                </c:pt>
                <c:pt idx="14">
                  <c:v>15.032</c:v>
                </c:pt>
                <c:pt idx="15">
                  <c:v>15.512</c:v>
                </c:pt>
                <c:pt idx="16">
                  <c:v>16.021999999999998</c:v>
                </c:pt>
                <c:pt idx="17">
                  <c:v>16.558</c:v>
                </c:pt>
                <c:pt idx="18">
                  <c:v>17.122</c:v>
                </c:pt>
              </c:numCache>
            </c:numRef>
          </c:xVal>
          <c:yVal>
            <c:numRef>
              <c:f>'Sample 260720 Duplicate'!$B$2:$B$20</c:f>
              <c:numCache>
                <c:formatCode>General</c:formatCode>
                <c:ptCount val="19"/>
                <c:pt idx="0">
                  <c:v>5.8</c:v>
                </c:pt>
                <c:pt idx="1">
                  <c:v>-0.8</c:v>
                </c:pt>
                <c:pt idx="2">
                  <c:v>-7.7</c:v>
                </c:pt>
                <c:pt idx="3">
                  <c:v>-15.7</c:v>
                </c:pt>
                <c:pt idx="4">
                  <c:v>-24</c:v>
                </c:pt>
                <c:pt idx="5">
                  <c:v>-33.1</c:v>
                </c:pt>
                <c:pt idx="6">
                  <c:v>-42.9</c:v>
                </c:pt>
                <c:pt idx="7">
                  <c:v>-52.6</c:v>
                </c:pt>
                <c:pt idx="8">
                  <c:v>-62</c:v>
                </c:pt>
                <c:pt idx="9">
                  <c:v>-71.3</c:v>
                </c:pt>
                <c:pt idx="10">
                  <c:v>-80.5</c:v>
                </c:pt>
                <c:pt idx="11">
                  <c:v>-88.6</c:v>
                </c:pt>
                <c:pt idx="12">
                  <c:v>-96.6</c:v>
                </c:pt>
                <c:pt idx="13">
                  <c:v>-104</c:v>
                </c:pt>
                <c:pt idx="14">
                  <c:v>-110.9</c:v>
                </c:pt>
                <c:pt idx="15">
                  <c:v>-117.2</c:v>
                </c:pt>
                <c:pt idx="16">
                  <c:v>-123.1</c:v>
                </c:pt>
                <c:pt idx="17">
                  <c:v>-128.4</c:v>
                </c:pt>
                <c:pt idx="18">
                  <c:v>-133.69999999999999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6E-40BC-B326-B7FF4383C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31407"/>
        <c:axId val="115157583"/>
      </c:scatterChart>
      <c:valAx>
        <c:axId val="104331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57583"/>
        <c:crosses val="autoZero"/>
        <c:crossBetween val="midCat"/>
      </c:valAx>
      <c:valAx>
        <c:axId val="11515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31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dU/dV over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'Sample 260720 Duplicate'!$A$3:$A$20</c:f>
              <c:numCache>
                <c:formatCode>General</c:formatCode>
                <c:ptCount val="18"/>
                <c:pt idx="0">
                  <c:v>9.6440000000000001</c:v>
                </c:pt>
                <c:pt idx="1">
                  <c:v>10.167999999999999</c:v>
                </c:pt>
                <c:pt idx="2">
                  <c:v>10.667999999999999</c:v>
                </c:pt>
                <c:pt idx="3">
                  <c:v>11.116</c:v>
                </c:pt>
                <c:pt idx="4">
                  <c:v>11.536</c:v>
                </c:pt>
                <c:pt idx="5">
                  <c:v>11.923999999999999</c:v>
                </c:pt>
                <c:pt idx="6">
                  <c:v>12.272</c:v>
                </c:pt>
                <c:pt idx="7">
                  <c:v>12.62</c:v>
                </c:pt>
                <c:pt idx="8">
                  <c:v>12.981999999999999</c:v>
                </c:pt>
                <c:pt idx="9">
                  <c:v>13.352</c:v>
                </c:pt>
                <c:pt idx="10">
                  <c:v>13.731999999999999</c:v>
                </c:pt>
                <c:pt idx="11">
                  <c:v>14.144</c:v>
                </c:pt>
                <c:pt idx="12">
                  <c:v>14.574</c:v>
                </c:pt>
                <c:pt idx="13">
                  <c:v>15.032</c:v>
                </c:pt>
                <c:pt idx="14">
                  <c:v>15.512</c:v>
                </c:pt>
                <c:pt idx="15">
                  <c:v>16.021999999999998</c:v>
                </c:pt>
                <c:pt idx="16">
                  <c:v>16.558</c:v>
                </c:pt>
                <c:pt idx="17">
                  <c:v>17.122</c:v>
                </c:pt>
              </c:numCache>
            </c:numRef>
          </c:xVal>
          <c:yVal>
            <c:numRef>
              <c:f>'Sample 260720 Duplicate'!$C$3:$C$20</c:f>
              <c:numCache>
                <c:formatCode>General</c:formatCode>
                <c:ptCount val="18"/>
                <c:pt idx="0">
                  <c:v>-11.999999999999984</c:v>
                </c:pt>
                <c:pt idx="1">
                  <c:v>-13.167938931297732</c:v>
                </c:pt>
                <c:pt idx="2">
                  <c:v>-15.999999999999998</c:v>
                </c:pt>
                <c:pt idx="3">
                  <c:v>-18.526785714285701</c:v>
                </c:pt>
                <c:pt idx="4">
                  <c:v>-21.666666666666675</c:v>
                </c:pt>
                <c:pt idx="5">
                  <c:v>-25.257731958762886</c:v>
                </c:pt>
                <c:pt idx="6">
                  <c:v>-27.873563218390753</c:v>
                </c:pt>
                <c:pt idx="7">
                  <c:v>-27.011494252873639</c:v>
                </c:pt>
                <c:pt idx="8">
                  <c:v>-25.690607734806616</c:v>
                </c:pt>
                <c:pt idx="9">
                  <c:v>-24.864864864864806</c:v>
                </c:pt>
                <c:pt idx="10">
                  <c:v>-21.315789473684251</c:v>
                </c:pt>
                <c:pt idx="11">
                  <c:v>-19.417475728155303</c:v>
                </c:pt>
                <c:pt idx="12">
                  <c:v>-17.209302325581419</c:v>
                </c:pt>
                <c:pt idx="13">
                  <c:v>-15.065502183406119</c:v>
                </c:pt>
                <c:pt idx="14">
                  <c:v>-13.124999999999982</c:v>
                </c:pt>
                <c:pt idx="15">
                  <c:v>-11.56862745098042</c:v>
                </c:pt>
                <c:pt idx="16">
                  <c:v>-9.8880597014925335</c:v>
                </c:pt>
                <c:pt idx="17">
                  <c:v>-9.3971631205673454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CC-4802-944A-4E4C3B26A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6276495"/>
        <c:axId val="115166223"/>
      </c:scatterChart>
      <c:valAx>
        <c:axId val="26627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66223"/>
        <c:crosses val="autoZero"/>
        <c:crossBetween val="midCat"/>
      </c:valAx>
      <c:valAx>
        <c:axId val="11516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276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274320</xdr:colOff>
      <xdr:row>5</xdr:row>
      <xdr:rowOff>72390</xdr:rowOff>
    </xdr:from>
    <xdr:to>
      <xdr:col>23</xdr:col>
      <xdr:colOff>510540</xdr:colOff>
      <xdr:row>25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30C741-A462-51FA-EA2E-E90D87695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350520</xdr:colOff>
      <xdr:row>1</xdr:row>
      <xdr:rowOff>133350</xdr:rowOff>
    </xdr:from>
    <xdr:to>
      <xdr:col>10</xdr:col>
      <xdr:colOff>45720</xdr:colOff>
      <xdr:row>16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C001DB-8F08-D44C-C3D0-82498340F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312420</xdr:colOff>
      <xdr:row>4</xdr:row>
      <xdr:rowOff>11430</xdr:rowOff>
    </xdr:from>
    <xdr:to>
      <xdr:col>17</xdr:col>
      <xdr:colOff>586740</xdr:colOff>
      <xdr:row>23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D37523-E2B9-5293-41CB-252671284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388620</xdr:colOff>
      <xdr:row>6</xdr:row>
      <xdr:rowOff>102870</xdr:rowOff>
    </xdr:from>
    <xdr:to>
      <xdr:col>11</xdr:col>
      <xdr:colOff>251460</xdr:colOff>
      <xdr:row>21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83B103-D26C-6913-09D6-0BB6494744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390525</xdr:colOff>
      <xdr:row>4</xdr:row>
      <xdr:rowOff>43815</xdr:rowOff>
    </xdr:from>
    <xdr:to>
      <xdr:col>21</xdr:col>
      <xdr:colOff>405765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579D78-C4AE-C366-AB87-0E0078A5E4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171450</xdr:colOff>
      <xdr:row>8</xdr:row>
      <xdr:rowOff>157163</xdr:rowOff>
    </xdr:from>
    <xdr:to>
      <xdr:col>20</xdr:col>
      <xdr:colOff>476250</xdr:colOff>
      <xdr:row>24</xdr:row>
      <xdr:rowOff>4763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5D6F99-08A8-8021-8A1B-A6CE99248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129540</xdr:colOff>
      <xdr:row>5</xdr:row>
      <xdr:rowOff>11430</xdr:rowOff>
    </xdr:from>
    <xdr:to>
      <xdr:col>17</xdr:col>
      <xdr:colOff>434340</xdr:colOff>
      <xdr:row>20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96213F-7B5D-E402-7640-B0A135A1C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312420</xdr:colOff>
      <xdr:row>1</xdr:row>
      <xdr:rowOff>125730</xdr:rowOff>
    </xdr:from>
    <xdr:to>
      <xdr:col>20</xdr:col>
      <xdr:colOff>7620</xdr:colOff>
      <xdr:row>16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1E3831-6884-080C-8ACC-71F7BDE1AD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30480</xdr:colOff>
      <xdr:row>4</xdr:row>
      <xdr:rowOff>118110</xdr:rowOff>
    </xdr:from>
    <xdr:to>
      <xdr:col>17</xdr:col>
      <xdr:colOff>68580</xdr:colOff>
      <xdr:row>21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8198CF-9CC5-F9E3-80F7-00B965D70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350520</xdr:colOff>
      <xdr:row>28</xdr:row>
      <xdr:rowOff>152400</xdr:rowOff>
    </xdr:from>
    <xdr:to>
      <xdr:col>13</xdr:col>
      <xdr:colOff>518160</xdr:colOff>
      <xdr:row>44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97BDF1-2D51-85D6-0407-6D4C1A904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</xdr:row>
      <xdr:rowOff>140970</xdr:rowOff>
    </xdr:from>
    <xdr:to>
      <xdr:col>13</xdr:col>
      <xdr:colOff>533400</xdr:colOff>
      <xdr:row>18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FA9B9B-AC27-7F49-91EF-7A628BD60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4</xdr:row>
      <xdr:rowOff>64770</xdr:rowOff>
    </xdr:from>
    <xdr:to>
      <xdr:col>20</xdr:col>
      <xdr:colOff>419100</xdr:colOff>
      <xdr:row>19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317FCD-5263-7C2C-9D94-20A83429E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480060</xdr:colOff>
      <xdr:row>1</xdr:row>
      <xdr:rowOff>11430</xdr:rowOff>
    </xdr:from>
    <xdr:to>
      <xdr:col>17</xdr:col>
      <xdr:colOff>175260</xdr:colOff>
      <xdr:row>16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606063-B7DC-DE17-443C-D0C65E62D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556260</xdr:colOff>
      <xdr:row>1</xdr:row>
      <xdr:rowOff>3810</xdr:rowOff>
    </xdr:from>
    <xdr:to>
      <xdr:col>25</xdr:col>
      <xdr:colOff>251460</xdr:colOff>
      <xdr:row>16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453520-E3D5-FBDD-50EF-121E98F20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251460</xdr:colOff>
      <xdr:row>9</xdr:row>
      <xdr:rowOff>19050</xdr:rowOff>
    </xdr:from>
    <xdr:to>
      <xdr:col>21</xdr:col>
      <xdr:colOff>556260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D9C363-ADA5-EFFC-5FAB-E519E1015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419100</xdr:colOff>
      <xdr:row>8</xdr:row>
      <xdr:rowOff>49530</xdr:rowOff>
    </xdr:from>
    <xdr:to>
      <xdr:col>14</xdr:col>
      <xdr:colOff>114300</xdr:colOff>
      <xdr:row>23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7FB4C6-1B8B-73E5-902C-0E6C61FF1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A6A03-E19D-4BE7-BD9F-98D69A76DEEE}">
  <dimension ref="A1:G30"/>
  <sheetViews>
    <sheetView workbookViewId="0">
      <selection activeCell="E3" sqref="E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>
        <f>MIN(C3:C30)</f>
        <v>-1737.4999999999975</v>
      </c>
      <c r="E1" t="s">
        <v>2</v>
      </c>
    </row>
    <row r="2" spans="1:7" x14ac:dyDescent="0.3">
      <c r="A2">
        <v>0</v>
      </c>
      <c r="B2">
        <v>57.7</v>
      </c>
      <c r="E2" t="s">
        <v>23</v>
      </c>
    </row>
    <row r="3" spans="1:7" x14ac:dyDescent="0.3">
      <c r="A3">
        <v>4.0000000000000001E-3</v>
      </c>
      <c r="B3">
        <v>55.2</v>
      </c>
      <c r="C3">
        <f>(B3-B2)/(A3-A2)</f>
        <v>-625</v>
      </c>
    </row>
    <row r="4" spans="1:7" x14ac:dyDescent="0.3">
      <c r="A4">
        <v>8.0000000000000002E-3</v>
      </c>
      <c r="B4">
        <v>52.3</v>
      </c>
      <c r="C4">
        <f t="shared" ref="C4:C30" si="0">(B4-B3)/(A4-A3)</f>
        <v>-725.00000000000136</v>
      </c>
    </row>
    <row r="5" spans="1:7" x14ac:dyDescent="0.3">
      <c r="A5">
        <v>1.12E-2</v>
      </c>
      <c r="B5">
        <v>51.6</v>
      </c>
      <c r="C5">
        <f t="shared" si="0"/>
        <v>-218.74999999999869</v>
      </c>
    </row>
    <row r="6" spans="1:7" x14ac:dyDescent="0.3">
      <c r="A6">
        <v>1.7999999999999999E-2</v>
      </c>
      <c r="B6">
        <v>46.2</v>
      </c>
      <c r="C6">
        <f t="shared" si="0"/>
        <v>-794.11764705882342</v>
      </c>
    </row>
    <row r="7" spans="1:7" x14ac:dyDescent="0.3">
      <c r="A7">
        <v>2.4E-2</v>
      </c>
      <c r="B7">
        <v>42.1</v>
      </c>
      <c r="C7">
        <f t="shared" si="0"/>
        <v>-683.33333333333337</v>
      </c>
    </row>
    <row r="8" spans="1:7" x14ac:dyDescent="0.3">
      <c r="A8">
        <v>0.03</v>
      </c>
      <c r="B8">
        <v>37.700000000000003</v>
      </c>
      <c r="C8">
        <f t="shared" si="0"/>
        <v>-733.33333333333326</v>
      </c>
    </row>
    <row r="9" spans="1:7" x14ac:dyDescent="0.3">
      <c r="A9">
        <v>4.5999999999999999E-2</v>
      </c>
      <c r="B9">
        <v>32.1</v>
      </c>
      <c r="C9">
        <f t="shared" si="0"/>
        <v>-350.00000000000006</v>
      </c>
    </row>
    <row r="10" spans="1:7" x14ac:dyDescent="0.3">
      <c r="A10">
        <v>9.6000000000000002E-2</v>
      </c>
      <c r="B10">
        <v>26.4</v>
      </c>
      <c r="C10">
        <f t="shared" si="0"/>
        <v>-114.00000000000006</v>
      </c>
    </row>
    <row r="11" spans="1:7" x14ac:dyDescent="0.3">
      <c r="A11">
        <v>0.22600000000000001</v>
      </c>
      <c r="B11">
        <v>19.3</v>
      </c>
      <c r="C11">
        <f t="shared" si="0"/>
        <v>-54.615384615384599</v>
      </c>
    </row>
    <row r="12" spans="1:7" x14ac:dyDescent="0.3">
      <c r="A12">
        <v>0.46</v>
      </c>
      <c r="B12">
        <v>-35.200000000000003</v>
      </c>
      <c r="C12">
        <f t="shared" si="0"/>
        <v>-232.90598290598288</v>
      </c>
    </row>
    <row r="13" spans="1:7" x14ac:dyDescent="0.3">
      <c r="A13">
        <v>0.53</v>
      </c>
      <c r="B13">
        <v>-72.7</v>
      </c>
      <c r="C13">
        <f t="shared" si="0"/>
        <v>-535.71428571428567</v>
      </c>
      <c r="F13" t="s">
        <v>0</v>
      </c>
      <c r="G13" t="s">
        <v>1</v>
      </c>
    </row>
    <row r="14" spans="1:7" x14ac:dyDescent="0.3">
      <c r="A14">
        <v>0.53800000000000003</v>
      </c>
      <c r="B14">
        <v>-86.6</v>
      </c>
      <c r="C14">
        <f t="shared" si="0"/>
        <v>-1737.4999999999975</v>
      </c>
      <c r="F14">
        <f>AVERAGE(A14,A13)</f>
        <v>0.53400000000000003</v>
      </c>
      <c r="G14">
        <f>AVERAGE(B14,B13)</f>
        <v>-79.650000000000006</v>
      </c>
    </row>
    <row r="15" spans="1:7" x14ac:dyDescent="0.3">
      <c r="A15">
        <v>0.54400000000000004</v>
      </c>
      <c r="B15">
        <v>-89.8</v>
      </c>
      <c r="C15">
        <f t="shared" si="0"/>
        <v>-533.33333333333337</v>
      </c>
    </row>
    <row r="16" spans="1:7" x14ac:dyDescent="0.3">
      <c r="A16">
        <v>0.55000000000000004</v>
      </c>
      <c r="B16">
        <v>-91.3</v>
      </c>
      <c r="C16">
        <f t="shared" si="0"/>
        <v>-249.99999999999977</v>
      </c>
    </row>
    <row r="17" spans="1:3" x14ac:dyDescent="0.3">
      <c r="A17">
        <v>0.55600000000000005</v>
      </c>
      <c r="B17">
        <v>-92.3</v>
      </c>
      <c r="C17">
        <f t="shared" si="0"/>
        <v>-166.66666666666652</v>
      </c>
    </row>
    <row r="18" spans="1:3" x14ac:dyDescent="0.3">
      <c r="A18">
        <v>0.64600000000000002</v>
      </c>
      <c r="B18">
        <v>-116</v>
      </c>
      <c r="C18">
        <f t="shared" si="0"/>
        <v>-263.33333333333343</v>
      </c>
    </row>
    <row r="19" spans="1:3" x14ac:dyDescent="0.3">
      <c r="A19">
        <v>0.71199999999999997</v>
      </c>
      <c r="B19">
        <v>-130.1</v>
      </c>
      <c r="C19">
        <f t="shared" si="0"/>
        <v>-213.63636363636371</v>
      </c>
    </row>
    <row r="20" spans="1:3" x14ac:dyDescent="0.3">
      <c r="A20">
        <v>0.79</v>
      </c>
      <c r="B20">
        <v>-144.30000000000001</v>
      </c>
      <c r="C20">
        <f t="shared" si="0"/>
        <v>-182.0512820512821</v>
      </c>
    </row>
    <row r="21" spans="1:3" x14ac:dyDescent="0.3">
      <c r="A21">
        <v>0.88</v>
      </c>
      <c r="B21">
        <v>-155.19999999999999</v>
      </c>
      <c r="C21">
        <f t="shared" si="0"/>
        <v>-121.1111111111109</v>
      </c>
    </row>
    <row r="22" spans="1:3" x14ac:dyDescent="0.3">
      <c r="A22">
        <v>1.004</v>
      </c>
      <c r="B22">
        <v>-165</v>
      </c>
      <c r="C22">
        <f t="shared" si="0"/>
        <v>-79.032258064516228</v>
      </c>
    </row>
    <row r="23" spans="1:3" x14ac:dyDescent="0.3">
      <c r="A23">
        <v>1.18</v>
      </c>
      <c r="B23">
        <v>-175.2</v>
      </c>
      <c r="C23">
        <f t="shared" si="0"/>
        <v>-57.954545454545411</v>
      </c>
    </row>
    <row r="24" spans="1:3" x14ac:dyDescent="0.3">
      <c r="A24">
        <v>1.4019999999999999</v>
      </c>
      <c r="B24">
        <v>-182.9</v>
      </c>
      <c r="C24">
        <f t="shared" si="0"/>
        <v>-34.684684684684768</v>
      </c>
    </row>
    <row r="25" spans="1:3" x14ac:dyDescent="0.3">
      <c r="A25">
        <v>1.716</v>
      </c>
      <c r="B25">
        <v>-190.7</v>
      </c>
      <c r="C25">
        <f t="shared" si="0"/>
        <v>-24.840764331210131</v>
      </c>
    </row>
    <row r="26" spans="1:3" x14ac:dyDescent="0.3">
      <c r="A26">
        <v>2.0960000000000001</v>
      </c>
      <c r="B26">
        <v>-196</v>
      </c>
      <c r="C26">
        <f t="shared" si="0"/>
        <v>-13.947368421052657</v>
      </c>
    </row>
    <row r="27" spans="1:3" x14ac:dyDescent="0.3">
      <c r="A27">
        <v>2.5939999999999999</v>
      </c>
      <c r="B27">
        <v>-200.5</v>
      </c>
      <c r="C27">
        <f t="shared" si="0"/>
        <v>-9.036144578313257</v>
      </c>
    </row>
    <row r="28" spans="1:3" x14ac:dyDescent="0.3">
      <c r="A28">
        <v>3.1739999999999999</v>
      </c>
      <c r="B28">
        <v>-202.9</v>
      </c>
      <c r="C28">
        <f t="shared" si="0"/>
        <v>-4.1379310344827678</v>
      </c>
    </row>
    <row r="29" spans="1:3" x14ac:dyDescent="0.3">
      <c r="A29">
        <v>3.8639999999999999</v>
      </c>
      <c r="B29">
        <v>-207.4</v>
      </c>
      <c r="C29">
        <f t="shared" si="0"/>
        <v>-6.5217391304347831</v>
      </c>
    </row>
    <row r="30" spans="1:3" x14ac:dyDescent="0.3">
      <c r="A30">
        <v>4.4960000000000004</v>
      </c>
      <c r="B30">
        <v>-210</v>
      </c>
      <c r="C30">
        <f t="shared" si="0"/>
        <v>-4.1139240506328987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89FD-0780-4C76-8183-B7AD2F5D9B48}">
  <dimension ref="A1:G28"/>
  <sheetViews>
    <sheetView topLeftCell="A4" workbookViewId="0">
      <selection activeCell="C3" activeCellId="1" sqref="A3:A28 C3:C28"/>
    </sheetView>
  </sheetViews>
  <sheetFormatPr defaultRowHeight="14.4" x14ac:dyDescent="0.3"/>
  <cols>
    <col min="7" max="7" width="15.33203125" customWidth="1"/>
  </cols>
  <sheetData>
    <row r="1" spans="1:7" x14ac:dyDescent="0.3">
      <c r="A1" t="s">
        <v>0</v>
      </c>
      <c r="B1" t="s">
        <v>1</v>
      </c>
      <c r="C1">
        <f>MIN(C3:C28)</f>
        <v>-449.999999999995</v>
      </c>
      <c r="D1">
        <v>1.8800000000000001E-2</v>
      </c>
      <c r="E1" t="s">
        <v>3</v>
      </c>
    </row>
    <row r="2" spans="1:7" x14ac:dyDescent="0.3">
      <c r="A2">
        <v>8.3420000000000005</v>
      </c>
      <c r="B2">
        <v>53.9</v>
      </c>
    </row>
    <row r="3" spans="1:7" x14ac:dyDescent="0.3">
      <c r="A3">
        <v>8.7859999999999996</v>
      </c>
      <c r="B3">
        <v>44.9</v>
      </c>
      <c r="C3">
        <f>(B3-B2)/(A3-A2)</f>
        <v>-20.270270270270313</v>
      </c>
    </row>
    <row r="4" spans="1:7" x14ac:dyDescent="0.3">
      <c r="A4">
        <v>9.1880000000000006</v>
      </c>
      <c r="B4">
        <v>35.4</v>
      </c>
      <c r="C4">
        <f t="shared" ref="C4:C28" si="0">(B4-B3)/(A4-A3)</f>
        <v>-23.631840796019841</v>
      </c>
    </row>
    <row r="5" spans="1:7" x14ac:dyDescent="0.3">
      <c r="A5">
        <v>9.5579999999999998</v>
      </c>
      <c r="B5">
        <v>24.8</v>
      </c>
      <c r="C5">
        <f t="shared" si="0"/>
        <v>-28.648648648648702</v>
      </c>
    </row>
    <row r="6" spans="1:7" x14ac:dyDescent="0.3">
      <c r="A6">
        <v>9.8640000000000008</v>
      </c>
      <c r="B6">
        <v>13.3</v>
      </c>
      <c r="C6">
        <f t="shared" si="0"/>
        <v>-37.581699346405117</v>
      </c>
    </row>
    <row r="7" spans="1:7" x14ac:dyDescent="0.3">
      <c r="A7">
        <v>10.08</v>
      </c>
      <c r="B7">
        <v>2.2000000000000002</v>
      </c>
      <c r="C7">
        <f t="shared" si="0"/>
        <v>-51.388888888889063</v>
      </c>
    </row>
    <row r="8" spans="1:7" x14ac:dyDescent="0.3">
      <c r="A8">
        <v>10.224</v>
      </c>
      <c r="B8">
        <v>-7.8</v>
      </c>
      <c r="C8">
        <f t="shared" si="0"/>
        <v>-69.444444444444386</v>
      </c>
    </row>
    <row r="9" spans="1:7" x14ac:dyDescent="0.3">
      <c r="A9">
        <v>10.327999999999999</v>
      </c>
      <c r="B9">
        <v>-18.399999999999999</v>
      </c>
      <c r="C9">
        <f t="shared" si="0"/>
        <v>-101.92307692307769</v>
      </c>
    </row>
    <row r="10" spans="1:7" x14ac:dyDescent="0.3">
      <c r="A10">
        <v>10.374000000000001</v>
      </c>
      <c r="B10">
        <v>-24.5</v>
      </c>
      <c r="C10">
        <f t="shared" si="0"/>
        <v>-132.60869565217064</v>
      </c>
    </row>
    <row r="11" spans="1:7" x14ac:dyDescent="0.3">
      <c r="A11">
        <v>10.416</v>
      </c>
      <c r="B11">
        <v>-31.3</v>
      </c>
      <c r="C11">
        <f t="shared" si="0"/>
        <v>-161.90476190476264</v>
      </c>
    </row>
    <row r="12" spans="1:7" x14ac:dyDescent="0.3">
      <c r="A12">
        <v>10.468</v>
      </c>
      <c r="B12">
        <v>-42.8</v>
      </c>
      <c r="C12">
        <f t="shared" si="0"/>
        <v>-221.15384615384778</v>
      </c>
    </row>
    <row r="13" spans="1:7" x14ac:dyDescent="0.3">
      <c r="A13">
        <v>10.486000000000001</v>
      </c>
      <c r="B13">
        <v>-47.8</v>
      </c>
      <c r="C13">
        <f t="shared" si="0"/>
        <v>-277.77777777776726</v>
      </c>
    </row>
    <row r="14" spans="1:7" x14ac:dyDescent="0.3">
      <c r="A14">
        <v>10.506</v>
      </c>
      <c r="B14">
        <v>-55.5</v>
      </c>
      <c r="C14">
        <f t="shared" si="0"/>
        <v>-385.00000000000836</v>
      </c>
    </row>
    <row r="15" spans="1:7" x14ac:dyDescent="0.3">
      <c r="A15">
        <v>10.516</v>
      </c>
      <c r="B15">
        <v>-58.1</v>
      </c>
      <c r="C15">
        <f t="shared" si="0"/>
        <v>-260.00000000000568</v>
      </c>
      <c r="E15" t="s">
        <v>0</v>
      </c>
      <c r="F15" t="s">
        <v>1</v>
      </c>
      <c r="G15" t="s">
        <v>4</v>
      </c>
    </row>
    <row r="16" spans="1:7" x14ac:dyDescent="0.3">
      <c r="A16">
        <v>10.526</v>
      </c>
      <c r="B16">
        <v>-61</v>
      </c>
      <c r="C16">
        <f t="shared" si="0"/>
        <v>-290.00000000000603</v>
      </c>
      <c r="E16">
        <f>AVERAGE(A16:A17)</f>
        <v>10.548</v>
      </c>
      <c r="F16">
        <f>AVERAGE(B16:B17)</f>
        <v>-70.900000000000006</v>
      </c>
      <c r="G16">
        <f>D1/E16/0.20422</f>
        <v>8.7274919375615167E-3</v>
      </c>
    </row>
    <row r="17" spans="1:3" x14ac:dyDescent="0.3">
      <c r="A17">
        <v>10.57</v>
      </c>
      <c r="B17">
        <v>-80.8</v>
      </c>
      <c r="C17" s="1">
        <f t="shared" si="0"/>
        <v>-449.999999999995</v>
      </c>
    </row>
    <row r="18" spans="1:3" x14ac:dyDescent="0.3">
      <c r="A18">
        <v>10.612</v>
      </c>
      <c r="B18">
        <v>-97.5</v>
      </c>
      <c r="C18">
        <f t="shared" si="0"/>
        <v>-397.61904761904941</v>
      </c>
    </row>
    <row r="19" spans="1:3" x14ac:dyDescent="0.3">
      <c r="A19">
        <v>10.632</v>
      </c>
      <c r="B19">
        <v>-104.6</v>
      </c>
      <c r="C19">
        <f t="shared" si="0"/>
        <v>-355.00000000000728</v>
      </c>
    </row>
    <row r="20" spans="1:3" x14ac:dyDescent="0.3">
      <c r="A20">
        <v>10.657999999999999</v>
      </c>
      <c r="B20">
        <v>-111.9</v>
      </c>
      <c r="C20">
        <f t="shared" si="0"/>
        <v>-280.76923076923333</v>
      </c>
    </row>
    <row r="21" spans="1:3" x14ac:dyDescent="0.3">
      <c r="A21">
        <v>10.72</v>
      </c>
      <c r="B21">
        <v>-125.1</v>
      </c>
      <c r="C21">
        <f t="shared" si="0"/>
        <v>-212.90322580644744</v>
      </c>
    </row>
    <row r="22" spans="1:3" x14ac:dyDescent="0.3">
      <c r="A22">
        <v>10.798</v>
      </c>
      <c r="B22">
        <v>-136.5</v>
      </c>
      <c r="C22">
        <f t="shared" si="0"/>
        <v>-146.15384615384735</v>
      </c>
    </row>
    <row r="23" spans="1:3" x14ac:dyDescent="0.3">
      <c r="A23">
        <v>10.906000000000001</v>
      </c>
      <c r="B23">
        <v>-147.69999999999999</v>
      </c>
      <c r="C23">
        <f t="shared" si="0"/>
        <v>-103.70370370370308</v>
      </c>
    </row>
    <row r="24" spans="1:3" x14ac:dyDescent="0.3">
      <c r="A24">
        <v>11.048</v>
      </c>
      <c r="B24">
        <v>-157.80000000000001</v>
      </c>
      <c r="C24">
        <f t="shared" si="0"/>
        <v>-71.126760563380714</v>
      </c>
    </row>
    <row r="25" spans="1:3" x14ac:dyDescent="0.3">
      <c r="A25">
        <v>11.238</v>
      </c>
      <c r="B25">
        <v>-164.4</v>
      </c>
      <c r="C25">
        <f t="shared" si="0"/>
        <v>-34.736842105263221</v>
      </c>
    </row>
    <row r="26" spans="1:3" x14ac:dyDescent="0.3">
      <c r="A26">
        <v>11.484</v>
      </c>
      <c r="B26">
        <v>-176.4</v>
      </c>
      <c r="C26">
        <f t="shared" si="0"/>
        <v>-48.780487804877964</v>
      </c>
    </row>
    <row r="27" spans="1:3" x14ac:dyDescent="0.3">
      <c r="A27">
        <v>11.788</v>
      </c>
      <c r="B27">
        <v>-184.7</v>
      </c>
      <c r="C27">
        <f t="shared" si="0"/>
        <v>-27.302631578947288</v>
      </c>
    </row>
    <row r="28" spans="1:3" x14ac:dyDescent="0.3">
      <c r="A28">
        <v>12.148</v>
      </c>
      <c r="B28">
        <v>-191.8</v>
      </c>
      <c r="C28">
        <f t="shared" si="0"/>
        <v>-19.722222222222317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0D024-0B66-43BB-8DF6-ED212FE75072}">
  <dimension ref="A1:G1"/>
  <sheetViews>
    <sheetView workbookViewId="0">
      <selection activeCell="A2" sqref="A2"/>
    </sheetView>
  </sheetViews>
  <sheetFormatPr defaultRowHeight="14.4" x14ac:dyDescent="0.3"/>
  <sheetData>
    <row r="1" spans="1:7" x14ac:dyDescent="0.3">
      <c r="A1" t="s">
        <v>7</v>
      </c>
      <c r="E1">
        <v>30.199300000000001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DC25E-2113-4E7A-97A1-0770C4949FEB}">
  <dimension ref="A1:H27"/>
  <sheetViews>
    <sheetView zoomScale="80" zoomScaleNormal="80" workbookViewId="0">
      <selection activeCell="H14" sqref="H1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>
        <f>MIN(C3:C27)</f>
        <v>-1299.9999999999989</v>
      </c>
      <c r="E1">
        <v>0.1129</v>
      </c>
      <c r="F1" t="s">
        <v>5</v>
      </c>
      <c r="G1" t="s">
        <v>8</v>
      </c>
    </row>
    <row r="2" spans="1:8" x14ac:dyDescent="0.3">
      <c r="A2">
        <v>0</v>
      </c>
      <c r="B2">
        <v>82.9</v>
      </c>
      <c r="E2">
        <v>34.3718</v>
      </c>
      <c r="F2" t="s">
        <v>5</v>
      </c>
      <c r="G2" t="s">
        <v>9</v>
      </c>
      <c r="H2" t="s">
        <v>10</v>
      </c>
    </row>
    <row r="3" spans="1:8" x14ac:dyDescent="0.3">
      <c r="A3">
        <v>4.0000000000000001E-3</v>
      </c>
      <c r="B3">
        <v>81.900000000000006</v>
      </c>
      <c r="C3">
        <f>(B3-B2)/(A3-A2)</f>
        <v>-250</v>
      </c>
      <c r="E3">
        <v>8.7274919375615167E-3</v>
      </c>
      <c r="F3" t="s">
        <v>11</v>
      </c>
      <c r="G3" t="s">
        <v>12</v>
      </c>
    </row>
    <row r="4" spans="1:8" x14ac:dyDescent="0.3">
      <c r="A4">
        <v>8.0000000000000002E-3</v>
      </c>
      <c r="B4">
        <v>81.5</v>
      </c>
      <c r="C4">
        <f t="shared" ref="C4:C27" si="0">(B4-B3)/(A4-A3)</f>
        <v>-100.00000000000142</v>
      </c>
    </row>
    <row r="5" spans="1:8" x14ac:dyDescent="0.3">
      <c r="A5">
        <v>1.2E-2</v>
      </c>
      <c r="B5">
        <v>80.900000000000006</v>
      </c>
      <c r="C5">
        <f t="shared" si="0"/>
        <v>-149.99999999999858</v>
      </c>
    </row>
    <row r="6" spans="1:8" x14ac:dyDescent="0.3">
      <c r="A6">
        <v>7.3999999999999996E-2</v>
      </c>
      <c r="B6">
        <v>53.6</v>
      </c>
      <c r="C6">
        <f t="shared" si="0"/>
        <v>-440.32258064516134</v>
      </c>
    </row>
    <row r="7" spans="1:8" x14ac:dyDescent="0.3">
      <c r="A7">
        <v>0.08</v>
      </c>
      <c r="B7">
        <v>49.2</v>
      </c>
      <c r="C7">
        <f t="shared" si="0"/>
        <v>-733.33333333333246</v>
      </c>
    </row>
    <row r="8" spans="1:8" x14ac:dyDescent="0.3">
      <c r="A8">
        <v>8.5999999999999993E-2</v>
      </c>
      <c r="B8">
        <v>48</v>
      </c>
      <c r="C8">
        <f t="shared" si="0"/>
        <v>-200.00000000000077</v>
      </c>
      <c r="E8" t="s">
        <v>0</v>
      </c>
      <c r="F8" t="s">
        <v>1</v>
      </c>
      <c r="G8" t="s">
        <v>13</v>
      </c>
    </row>
    <row r="9" spans="1:8" x14ac:dyDescent="0.3">
      <c r="A9">
        <v>9.0999999999999998E-2</v>
      </c>
      <c r="B9">
        <v>41.5</v>
      </c>
      <c r="C9">
        <f t="shared" si="0"/>
        <v>-1299.9999999999989</v>
      </c>
      <c r="E9">
        <f>AVERAGE(A8:A9)</f>
        <v>8.8499999999999995E-2</v>
      </c>
      <c r="F9">
        <f>AVERAGE(B8:B9)</f>
        <v>44.75</v>
      </c>
      <c r="G9">
        <f>E3*56.11*E9/E1</f>
        <v>0.3838654754346062</v>
      </c>
      <c r="H9" t="s">
        <v>14</v>
      </c>
    </row>
    <row r="10" spans="1:8" x14ac:dyDescent="0.3">
      <c r="A10">
        <v>9.8000000000000004E-2</v>
      </c>
      <c r="B10">
        <v>38.4</v>
      </c>
      <c r="C10">
        <f t="shared" si="0"/>
        <v>-442.85714285714266</v>
      </c>
      <c r="E10">
        <v>0.56000000000000005</v>
      </c>
      <c r="F10">
        <v>-71.5</v>
      </c>
      <c r="G10">
        <f>E3*56.11*E10/E1</f>
        <v>2.4289792795862089</v>
      </c>
      <c r="H10" t="s">
        <v>15</v>
      </c>
    </row>
    <row r="11" spans="1:8" x14ac:dyDescent="0.3">
      <c r="A11">
        <v>0.104</v>
      </c>
      <c r="B11">
        <v>37.6</v>
      </c>
      <c r="C11">
        <f t="shared" si="0"/>
        <v>-133.33333333333306</v>
      </c>
      <c r="E11">
        <v>0.90600000000000003</v>
      </c>
      <c r="F11">
        <v>-120.3</v>
      </c>
      <c r="G11">
        <f>E3*56.11*E11/E1</f>
        <v>3.9297414773305448</v>
      </c>
      <c r="H11" t="s">
        <v>24</v>
      </c>
    </row>
    <row r="12" spans="1:8" x14ac:dyDescent="0.3">
      <c r="A12">
        <v>0.11</v>
      </c>
      <c r="B12">
        <v>37.4</v>
      </c>
      <c r="C12">
        <f t="shared" si="0"/>
        <v>-33.333333333333776</v>
      </c>
      <c r="E12">
        <v>1.282</v>
      </c>
      <c r="F12">
        <v>-161.19999999999999</v>
      </c>
      <c r="G12">
        <f>E3*56.11*E12/E1</f>
        <v>5.5606275650527142</v>
      </c>
      <c r="H12" t="s">
        <v>25</v>
      </c>
    </row>
    <row r="13" spans="1:8" x14ac:dyDescent="0.3">
      <c r="A13">
        <v>0.36199999999999999</v>
      </c>
      <c r="B13">
        <v>-23.9</v>
      </c>
      <c r="C13">
        <f t="shared" si="0"/>
        <v>-243.25396825396825</v>
      </c>
    </row>
    <row r="14" spans="1:8" x14ac:dyDescent="0.3">
      <c r="A14">
        <v>0.432</v>
      </c>
      <c r="B14">
        <v>-42</v>
      </c>
      <c r="C14">
        <f t="shared" si="0"/>
        <v>-258.57142857142856</v>
      </c>
    </row>
    <row r="15" spans="1:8" x14ac:dyDescent="0.3">
      <c r="A15">
        <v>0.498</v>
      </c>
      <c r="B15">
        <v>-58.3</v>
      </c>
      <c r="C15">
        <f t="shared" si="0"/>
        <v>-246.96969696969691</v>
      </c>
    </row>
    <row r="16" spans="1:8" x14ac:dyDescent="0.3">
      <c r="A16">
        <v>0.56000000000000005</v>
      </c>
      <c r="B16">
        <v>-71.5</v>
      </c>
      <c r="C16">
        <f t="shared" si="0"/>
        <v>-212.90322580645147</v>
      </c>
    </row>
    <row r="17" spans="1:3" x14ac:dyDescent="0.3">
      <c r="A17">
        <v>0.59599999999999997</v>
      </c>
      <c r="B17">
        <v>-78.2</v>
      </c>
      <c r="C17">
        <f t="shared" si="0"/>
        <v>-186.1111111111116</v>
      </c>
    </row>
    <row r="18" spans="1:3" x14ac:dyDescent="0.3">
      <c r="A18">
        <v>0.68400000000000005</v>
      </c>
      <c r="B18">
        <v>-91.5</v>
      </c>
      <c r="C18">
        <f t="shared" si="0"/>
        <v>-151.13636363636348</v>
      </c>
    </row>
    <row r="19" spans="1:3" x14ac:dyDescent="0.3">
      <c r="A19">
        <v>0.78800000000000003</v>
      </c>
      <c r="B19">
        <v>-105</v>
      </c>
      <c r="C19">
        <f t="shared" si="0"/>
        <v>-129.80769230769232</v>
      </c>
    </row>
    <row r="20" spans="1:3" x14ac:dyDescent="0.3">
      <c r="A20">
        <v>0.90600000000000003</v>
      </c>
      <c r="B20">
        <v>-120.3</v>
      </c>
      <c r="C20">
        <f t="shared" si="0"/>
        <v>-129.66101694915253</v>
      </c>
    </row>
    <row r="21" spans="1:3" x14ac:dyDescent="0.3">
      <c r="A21">
        <v>1.024</v>
      </c>
      <c r="B21">
        <v>-135</v>
      </c>
      <c r="C21">
        <f t="shared" si="0"/>
        <v>-124.57627118644071</v>
      </c>
    </row>
    <row r="22" spans="1:3" x14ac:dyDescent="0.3">
      <c r="A22">
        <v>1.1479999999999999</v>
      </c>
      <c r="B22">
        <v>-148.80000000000001</v>
      </c>
      <c r="C22">
        <f t="shared" si="0"/>
        <v>-111.29032258064535</v>
      </c>
    </row>
    <row r="23" spans="1:3" x14ac:dyDescent="0.3">
      <c r="A23">
        <v>1.282</v>
      </c>
      <c r="B23">
        <v>-161.19999999999999</v>
      </c>
      <c r="C23">
        <f t="shared" si="0"/>
        <v>-92.537313432835575</v>
      </c>
    </row>
    <row r="24" spans="1:3" x14ac:dyDescent="0.3">
      <c r="A24">
        <v>1.4379999999999999</v>
      </c>
      <c r="B24">
        <v>-171.6</v>
      </c>
      <c r="C24">
        <f t="shared" si="0"/>
        <v>-66.666666666666742</v>
      </c>
    </row>
    <row r="25" spans="1:3" x14ac:dyDescent="0.3">
      <c r="A25">
        <v>1.6379999999999999</v>
      </c>
      <c r="B25">
        <v>-180.6</v>
      </c>
      <c r="C25">
        <f t="shared" si="0"/>
        <v>-45.000000000000007</v>
      </c>
    </row>
    <row r="26" spans="1:3" x14ac:dyDescent="0.3">
      <c r="A26">
        <v>1.9039999999999999</v>
      </c>
      <c r="B26">
        <v>-188.5</v>
      </c>
      <c r="C26">
        <f t="shared" si="0"/>
        <v>-29.699248120300773</v>
      </c>
    </row>
    <row r="27" spans="1:3" x14ac:dyDescent="0.3">
      <c r="A27">
        <v>2.2480000000000002</v>
      </c>
      <c r="B27">
        <v>-195.7</v>
      </c>
      <c r="C27">
        <f t="shared" si="0"/>
        <v>-20.930232558139483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840E4-0E8C-42A5-97B8-640DD3475A75}">
  <dimension ref="A1:H20"/>
  <sheetViews>
    <sheetView workbookViewId="0">
      <selection activeCell="C3" sqref="C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>
        <f>MIN(C3:C20)</f>
        <v>-287.07482993197283</v>
      </c>
      <c r="E1">
        <v>0.1295</v>
      </c>
      <c r="F1" t="s">
        <v>5</v>
      </c>
      <c r="G1" t="s">
        <v>8</v>
      </c>
    </row>
    <row r="2" spans="1:8" x14ac:dyDescent="0.3">
      <c r="A2">
        <v>0</v>
      </c>
      <c r="B2">
        <v>57.9</v>
      </c>
      <c r="E2">
        <v>37.358800000000002</v>
      </c>
      <c r="F2" t="s">
        <v>5</v>
      </c>
      <c r="G2" t="s">
        <v>9</v>
      </c>
    </row>
    <row r="3" spans="1:8" x14ac:dyDescent="0.3">
      <c r="A3">
        <v>4.0000000000000001E-3</v>
      </c>
      <c r="B3">
        <v>58.3</v>
      </c>
      <c r="C3">
        <f>(B3-B2)/(A3-A2)</f>
        <v>99.999999999999645</v>
      </c>
      <c r="E3">
        <v>8.7274919375615167E-3</v>
      </c>
      <c r="F3" t="s">
        <v>11</v>
      </c>
      <c r="G3" t="s">
        <v>12</v>
      </c>
    </row>
    <row r="4" spans="1:8" x14ac:dyDescent="0.3">
      <c r="A4">
        <v>8.0000000000000002E-3</v>
      </c>
      <c r="B4">
        <v>59.3</v>
      </c>
      <c r="C4">
        <f t="shared" ref="C4:C20" si="0">(B4-B3)/(A4-A3)</f>
        <v>250</v>
      </c>
    </row>
    <row r="5" spans="1:8" x14ac:dyDescent="0.3">
      <c r="A5">
        <v>1.12E-2</v>
      </c>
      <c r="B5">
        <v>59.6</v>
      </c>
      <c r="C5">
        <f t="shared" si="0"/>
        <v>93.750000000001336</v>
      </c>
      <c r="E5" t="s">
        <v>0</v>
      </c>
      <c r="F5" t="s">
        <v>1</v>
      </c>
      <c r="G5" t="s">
        <v>13</v>
      </c>
    </row>
    <row r="6" spans="1:8" x14ac:dyDescent="0.3">
      <c r="A6">
        <v>0.02</v>
      </c>
      <c r="B6">
        <v>59.9</v>
      </c>
      <c r="C6">
        <f t="shared" si="0"/>
        <v>34.090909090908767</v>
      </c>
      <c r="E6">
        <f>AVERAGE(A6:A7)</f>
        <v>0.16700000000000001</v>
      </c>
      <c r="F6">
        <f>AVERAGE(B6:B7)</f>
        <v>17.7</v>
      </c>
      <c r="G6">
        <f>$E$3*E6*56.11/$E$1</f>
        <v>0.63150446816191741</v>
      </c>
      <c r="H6" t="s">
        <v>16</v>
      </c>
    </row>
    <row r="7" spans="1:8" x14ac:dyDescent="0.3">
      <c r="A7">
        <v>0.314</v>
      </c>
      <c r="B7">
        <v>-24.5</v>
      </c>
      <c r="C7">
        <f t="shared" si="0"/>
        <v>-287.07482993197283</v>
      </c>
      <c r="E7">
        <v>0.54800000000000004</v>
      </c>
      <c r="F7">
        <v>-71.7</v>
      </c>
      <c r="G7">
        <f t="shared" ref="G7:G9" si="1">$E$3*E7*56.11/$E$1</f>
        <v>2.0722422069025797</v>
      </c>
      <c r="H7" t="s">
        <v>15</v>
      </c>
    </row>
    <row r="8" spans="1:8" x14ac:dyDescent="0.3">
      <c r="A8">
        <v>0.374</v>
      </c>
      <c r="B8">
        <v>-37.299999999999997</v>
      </c>
      <c r="C8">
        <f t="shared" si="0"/>
        <v>-213.33333333333329</v>
      </c>
      <c r="E8">
        <v>1.0170999999999999</v>
      </c>
      <c r="F8">
        <v>-140.30000000000001</v>
      </c>
      <c r="G8">
        <f t="shared" si="1"/>
        <v>3.8461269135777618</v>
      </c>
      <c r="H8" t="s">
        <v>17</v>
      </c>
    </row>
    <row r="9" spans="1:8" x14ac:dyDescent="0.3">
      <c r="A9">
        <v>0.39600000000000002</v>
      </c>
      <c r="B9">
        <v>-40.4</v>
      </c>
      <c r="C9">
        <f t="shared" si="0"/>
        <v>-140.90909090909085</v>
      </c>
      <c r="E9">
        <v>1.224</v>
      </c>
      <c r="F9">
        <v>-159.6</v>
      </c>
      <c r="G9">
        <f t="shared" si="1"/>
        <v>4.6285117905999211</v>
      </c>
      <c r="H9" t="s">
        <v>26</v>
      </c>
    </row>
    <row r="10" spans="1:8" x14ac:dyDescent="0.3">
      <c r="A10">
        <v>0.45200000000000001</v>
      </c>
      <c r="B10">
        <v>-50.8</v>
      </c>
      <c r="C10">
        <f t="shared" si="0"/>
        <v>-185.71428571428569</v>
      </c>
    </row>
    <row r="11" spans="1:8" x14ac:dyDescent="0.3">
      <c r="A11">
        <v>0.54800000000000004</v>
      </c>
      <c r="B11">
        <v>-71.7</v>
      </c>
      <c r="C11">
        <f t="shared" si="0"/>
        <v>-217.70833333333331</v>
      </c>
    </row>
    <row r="12" spans="1:8" x14ac:dyDescent="0.3">
      <c r="A12">
        <v>0.624</v>
      </c>
      <c r="B12">
        <v>-88.2</v>
      </c>
      <c r="C12">
        <f t="shared" si="0"/>
        <v>-217.10526315789485</v>
      </c>
    </row>
    <row r="13" spans="1:8" x14ac:dyDescent="0.3">
      <c r="A13">
        <v>0.7</v>
      </c>
      <c r="B13">
        <v>-101.3</v>
      </c>
      <c r="C13">
        <f t="shared" si="0"/>
        <v>-172.36842105263159</v>
      </c>
    </row>
    <row r="14" spans="1:8" x14ac:dyDescent="0.3">
      <c r="A14">
        <v>0.72799999999999998</v>
      </c>
      <c r="B14">
        <v>-105.3</v>
      </c>
      <c r="C14">
        <f t="shared" si="0"/>
        <v>-142.85714285714272</v>
      </c>
    </row>
    <row r="15" spans="1:8" x14ac:dyDescent="0.3">
      <c r="A15">
        <v>0.83799999999999997</v>
      </c>
      <c r="B15">
        <v>-119.7</v>
      </c>
      <c r="C15">
        <f t="shared" si="0"/>
        <v>-130.90909090909096</v>
      </c>
    </row>
    <row r="16" spans="1:8" x14ac:dyDescent="0.3">
      <c r="A16">
        <v>0.95599999999999996</v>
      </c>
      <c r="B16">
        <v>-133.9</v>
      </c>
      <c r="C16">
        <f t="shared" si="0"/>
        <v>-120.33898305084749</v>
      </c>
    </row>
    <row r="17" spans="1:3" x14ac:dyDescent="0.3">
      <c r="A17">
        <v>1.0820000000000001</v>
      </c>
      <c r="B17">
        <v>-147</v>
      </c>
      <c r="C17">
        <f t="shared" si="0"/>
        <v>-103.96825396825383</v>
      </c>
    </row>
    <row r="18" spans="1:3" x14ac:dyDescent="0.3">
      <c r="A18">
        <v>1.224</v>
      </c>
      <c r="B18">
        <v>-159.6</v>
      </c>
      <c r="C18">
        <f t="shared" si="0"/>
        <v>-88.732394366197198</v>
      </c>
    </row>
    <row r="19" spans="1:3" x14ac:dyDescent="0.3">
      <c r="A19">
        <v>1.3360000000000001</v>
      </c>
      <c r="B19">
        <v>-170.5</v>
      </c>
      <c r="C19">
        <f t="shared" si="0"/>
        <v>-97.321428571428541</v>
      </c>
    </row>
    <row r="20" spans="1:3" x14ac:dyDescent="0.3">
      <c r="A20">
        <v>1.5840000000000001</v>
      </c>
      <c r="B20">
        <v>-179.6</v>
      </c>
      <c r="C20">
        <f t="shared" si="0"/>
        <v>-36.693548387096754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B926-CC85-40C7-A9B1-D0BFD717A76C}">
  <dimension ref="A1:H61"/>
  <sheetViews>
    <sheetView tabSelected="1" workbookViewId="0">
      <selection activeCell="R16" sqref="R1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>
        <f>MIN(C3:C61)</f>
        <v>-50.182481751824788</v>
      </c>
      <c r="E1">
        <v>0.1142</v>
      </c>
      <c r="F1" t="s">
        <v>5</v>
      </c>
      <c r="G1" t="s">
        <v>18</v>
      </c>
      <c r="H1" t="s">
        <v>19</v>
      </c>
    </row>
    <row r="2" spans="1:8" x14ac:dyDescent="0.3">
      <c r="A2">
        <v>0</v>
      </c>
      <c r="B2">
        <v>144.9</v>
      </c>
      <c r="E2">
        <v>36.364100000000001</v>
      </c>
      <c r="F2" t="s">
        <v>5</v>
      </c>
      <c r="G2" t="s">
        <v>9</v>
      </c>
    </row>
    <row r="3" spans="1:8" x14ac:dyDescent="0.3">
      <c r="A3">
        <v>0.04</v>
      </c>
      <c r="B3">
        <v>145.19999999999999</v>
      </c>
      <c r="C3">
        <f>(B3-B2)/(A3-A2)</f>
        <v>7.4999999999995737</v>
      </c>
      <c r="E3">
        <v>8.7274919375615167E-3</v>
      </c>
      <c r="F3" t="s">
        <v>11</v>
      </c>
      <c r="G3" t="s">
        <v>12</v>
      </c>
    </row>
    <row r="4" spans="1:8" x14ac:dyDescent="0.3">
      <c r="A4">
        <v>0.08</v>
      </c>
      <c r="B4">
        <v>145.30000000000001</v>
      </c>
      <c r="C4">
        <f t="shared" ref="C4:C61" si="0">(B4-B3)/(A4-A3)</f>
        <v>2.5000000000005684</v>
      </c>
    </row>
    <row r="5" spans="1:8" x14ac:dyDescent="0.3">
      <c r="A5">
        <v>1.2E-2</v>
      </c>
      <c r="B5">
        <v>145.69999999999999</v>
      </c>
      <c r="C5">
        <f t="shared" si="0"/>
        <v>-5.8823529411761362</v>
      </c>
    </row>
    <row r="6" spans="1:8" x14ac:dyDescent="0.3">
      <c r="A6">
        <v>5.1999999999999998E-2</v>
      </c>
      <c r="B6">
        <v>146.9</v>
      </c>
      <c r="C6">
        <f t="shared" si="0"/>
        <v>30.00000000000043</v>
      </c>
    </row>
    <row r="7" spans="1:8" x14ac:dyDescent="0.3">
      <c r="A7">
        <v>7.3999999999999996E-2</v>
      </c>
      <c r="B7">
        <v>146.69999999999999</v>
      </c>
      <c r="C7">
        <f t="shared" si="0"/>
        <v>-9.0909090909098662</v>
      </c>
    </row>
    <row r="8" spans="1:8" x14ac:dyDescent="0.3">
      <c r="A8">
        <v>0.622</v>
      </c>
      <c r="B8">
        <v>119.2</v>
      </c>
      <c r="C8">
        <f>(B8-B7)/(A8-A7)</f>
        <v>-50.182481751824788</v>
      </c>
    </row>
    <row r="9" spans="1:8" x14ac:dyDescent="0.3">
      <c r="A9">
        <v>0.86799999999999999</v>
      </c>
      <c r="B9">
        <v>111.1</v>
      </c>
      <c r="C9">
        <f t="shared" si="0"/>
        <v>-32.926829268292721</v>
      </c>
    </row>
    <row r="10" spans="1:8" x14ac:dyDescent="0.3">
      <c r="A10">
        <v>1.1919999999999999</v>
      </c>
      <c r="B10">
        <v>103</v>
      </c>
      <c r="C10">
        <f t="shared" si="0"/>
        <v>-24.999999999999986</v>
      </c>
    </row>
    <row r="11" spans="1:8" x14ac:dyDescent="0.3">
      <c r="A11">
        <v>1.468</v>
      </c>
      <c r="B11">
        <v>96.5</v>
      </c>
      <c r="C11">
        <f t="shared" si="0"/>
        <v>-23.550724637681157</v>
      </c>
    </row>
    <row r="12" spans="1:8" x14ac:dyDescent="0.3">
      <c r="A12">
        <v>1.8580000000000001</v>
      </c>
      <c r="B12">
        <v>88.9</v>
      </c>
      <c r="C12">
        <f t="shared" si="0"/>
        <v>-19.487179487179468</v>
      </c>
    </row>
    <row r="13" spans="1:8" x14ac:dyDescent="0.3">
      <c r="A13">
        <v>2.2879999999999998</v>
      </c>
      <c r="B13">
        <v>81.2</v>
      </c>
      <c r="C13">
        <f t="shared" si="0"/>
        <v>-17.906976744186064</v>
      </c>
    </row>
    <row r="14" spans="1:8" x14ac:dyDescent="0.3">
      <c r="A14">
        <v>2.7360000000000002</v>
      </c>
      <c r="B14">
        <v>74.099999999999994</v>
      </c>
      <c r="C14">
        <f t="shared" si="0"/>
        <v>-15.84821428571429</v>
      </c>
    </row>
    <row r="15" spans="1:8" x14ac:dyDescent="0.3">
      <c r="A15">
        <v>3.21</v>
      </c>
      <c r="B15">
        <v>67.8</v>
      </c>
      <c r="C15">
        <f t="shared" si="0"/>
        <v>-13.291139240506331</v>
      </c>
    </row>
    <row r="16" spans="1:8" x14ac:dyDescent="0.3">
      <c r="A16">
        <v>3.7160000000000002</v>
      </c>
      <c r="B16">
        <v>61.9</v>
      </c>
      <c r="C16">
        <f t="shared" si="0"/>
        <v>-11.660079051383391</v>
      </c>
      <c r="E16" t="s">
        <v>0</v>
      </c>
      <c r="F16" t="s">
        <v>1</v>
      </c>
      <c r="G16" t="s">
        <v>13</v>
      </c>
    </row>
    <row r="17" spans="1:7" x14ac:dyDescent="0.3">
      <c r="A17">
        <v>4.25</v>
      </c>
      <c r="B17">
        <v>56.3</v>
      </c>
      <c r="C17">
        <f t="shared" si="0"/>
        <v>-10.486891385767796</v>
      </c>
      <c r="E17">
        <f>AVERAGE(A35:A36)</f>
        <v>14.459</v>
      </c>
      <c r="F17">
        <f>AVERAGE(B35:B36)</f>
        <v>-54.25</v>
      </c>
      <c r="G17">
        <f>E17*E3*56.11/E1</f>
        <v>62.00145464503575</v>
      </c>
    </row>
    <row r="18" spans="1:7" x14ac:dyDescent="0.3">
      <c r="A18">
        <v>4.8</v>
      </c>
      <c r="B18">
        <v>51.1</v>
      </c>
      <c r="C18">
        <f t="shared" si="0"/>
        <v>-9.4545454545454497</v>
      </c>
      <c r="E18">
        <v>15.492000000000001</v>
      </c>
      <c r="F18">
        <v>-74.599999999999994</v>
      </c>
      <c r="G18">
        <f>E18*E3*56.11/E1</f>
        <v>66.431048852679581</v>
      </c>
    </row>
    <row r="19" spans="1:7" x14ac:dyDescent="0.3">
      <c r="A19">
        <v>5.3739999999999997</v>
      </c>
      <c r="B19">
        <v>46.1</v>
      </c>
      <c r="C19">
        <f t="shared" si="0"/>
        <v>-8.7108013937282252</v>
      </c>
    </row>
    <row r="20" spans="1:7" x14ac:dyDescent="0.3">
      <c r="A20">
        <v>5.96</v>
      </c>
      <c r="B20">
        <v>41.3</v>
      </c>
      <c r="C20">
        <f t="shared" si="0"/>
        <v>-8.1911262798634841</v>
      </c>
    </row>
    <row r="21" spans="1:7" x14ac:dyDescent="0.3">
      <c r="A21">
        <v>6.556</v>
      </c>
      <c r="B21">
        <v>36.5</v>
      </c>
      <c r="C21">
        <f t="shared" si="0"/>
        <v>-8.0536912751677789</v>
      </c>
    </row>
    <row r="22" spans="1:7" x14ac:dyDescent="0.3">
      <c r="A22">
        <v>7.15</v>
      </c>
      <c r="B22">
        <v>31.9</v>
      </c>
      <c r="C22">
        <f t="shared" si="0"/>
        <v>-7.7441077441077422</v>
      </c>
    </row>
    <row r="23" spans="1:7" x14ac:dyDescent="0.3">
      <c r="A23">
        <v>7.766</v>
      </c>
      <c r="B23">
        <v>27.2</v>
      </c>
      <c r="C23">
        <f t="shared" si="0"/>
        <v>-7.6298701298701328</v>
      </c>
    </row>
    <row r="24" spans="1:7" x14ac:dyDescent="0.3">
      <c r="A24">
        <v>8.3719999999999999</v>
      </c>
      <c r="B24">
        <v>22.5</v>
      </c>
      <c r="C24">
        <f t="shared" si="0"/>
        <v>-7.7557755775577562</v>
      </c>
    </row>
    <row r="25" spans="1:7" x14ac:dyDescent="0.3">
      <c r="A25">
        <v>8.9779999999999998</v>
      </c>
      <c r="B25">
        <v>17.8</v>
      </c>
      <c r="C25">
        <f t="shared" si="0"/>
        <v>-7.7557755775577562</v>
      </c>
    </row>
    <row r="26" spans="1:7" x14ac:dyDescent="0.3">
      <c r="A26">
        <v>9.5820000000000007</v>
      </c>
      <c r="B26">
        <v>12.7</v>
      </c>
      <c r="C26">
        <f t="shared" si="0"/>
        <v>-8.4437086092715123</v>
      </c>
    </row>
    <row r="27" spans="1:7" x14ac:dyDescent="0.3">
      <c r="A27">
        <v>10.173999999999999</v>
      </c>
      <c r="B27">
        <v>7.6</v>
      </c>
      <c r="C27">
        <f t="shared" si="0"/>
        <v>-8.6148648648648827</v>
      </c>
    </row>
    <row r="28" spans="1:7" x14ac:dyDescent="0.3">
      <c r="A28">
        <v>10.76</v>
      </c>
      <c r="B28">
        <v>2.2000000000000002</v>
      </c>
      <c r="C28">
        <f t="shared" si="0"/>
        <v>-9.2150170648464105</v>
      </c>
    </row>
    <row r="29" spans="1:7" x14ac:dyDescent="0.3">
      <c r="A29">
        <v>11.334</v>
      </c>
      <c r="B29">
        <v>-3.7</v>
      </c>
      <c r="C29">
        <f t="shared" si="0"/>
        <v>-10.278745644599306</v>
      </c>
    </row>
    <row r="30" spans="1:7" x14ac:dyDescent="0.3">
      <c r="A30">
        <v>11.885999999999999</v>
      </c>
      <c r="B30">
        <v>-10.199999999999999</v>
      </c>
      <c r="C30">
        <f t="shared" si="0"/>
        <v>-11.775362318840587</v>
      </c>
    </row>
    <row r="31" spans="1:7" x14ac:dyDescent="0.3">
      <c r="A31">
        <v>12.41</v>
      </c>
      <c r="B31">
        <v>-17.100000000000001</v>
      </c>
      <c r="C31">
        <f t="shared" si="0"/>
        <v>-13.167938931297691</v>
      </c>
    </row>
    <row r="32" spans="1:7" x14ac:dyDescent="0.3">
      <c r="A32">
        <v>12.912000000000001</v>
      </c>
      <c r="B32">
        <v>-24.5</v>
      </c>
      <c r="C32">
        <f t="shared" si="0"/>
        <v>-14.741035856573683</v>
      </c>
    </row>
    <row r="33" spans="1:3" x14ac:dyDescent="0.3">
      <c r="A33">
        <v>13.39</v>
      </c>
      <c r="B33">
        <v>-32.799999999999997</v>
      </c>
      <c r="C33">
        <f t="shared" si="0"/>
        <v>-17.364016736401677</v>
      </c>
    </row>
    <row r="34" spans="1:3" x14ac:dyDescent="0.3">
      <c r="A34">
        <v>13.824</v>
      </c>
      <c r="B34">
        <v>-41</v>
      </c>
      <c r="C34">
        <f t="shared" si="0"/>
        <v>-18.8940092165899</v>
      </c>
    </row>
    <row r="35" spans="1:3" x14ac:dyDescent="0.3">
      <c r="A35">
        <v>14.252000000000001</v>
      </c>
      <c r="B35">
        <v>-49.8</v>
      </c>
      <c r="C35">
        <f t="shared" si="0"/>
        <v>-20.560747663551357</v>
      </c>
    </row>
    <row r="36" spans="1:3" x14ac:dyDescent="0.3">
      <c r="A36" s="1">
        <v>14.666</v>
      </c>
      <c r="B36" s="1">
        <v>-58.7</v>
      </c>
      <c r="C36" s="1">
        <f t="shared" si="0"/>
        <v>-21.497584541062832</v>
      </c>
    </row>
    <row r="37" spans="1:3" x14ac:dyDescent="0.3">
      <c r="A37">
        <v>15.074</v>
      </c>
      <c r="B37">
        <v>-66.900000000000006</v>
      </c>
      <c r="C37">
        <f t="shared" si="0"/>
        <v>-20.098039215686306</v>
      </c>
    </row>
    <row r="38" spans="1:3" x14ac:dyDescent="0.3">
      <c r="A38">
        <v>15.492000000000001</v>
      </c>
      <c r="B38">
        <v>-74.599999999999994</v>
      </c>
      <c r="C38">
        <f t="shared" si="0"/>
        <v>-18.421052631578874</v>
      </c>
    </row>
    <row r="39" spans="1:3" x14ac:dyDescent="0.3">
      <c r="A39">
        <v>15.932</v>
      </c>
      <c r="B39">
        <v>-82.2</v>
      </c>
      <c r="C39">
        <f t="shared" si="0"/>
        <v>-17.272727272727312</v>
      </c>
    </row>
    <row r="40" spans="1:3" x14ac:dyDescent="0.3">
      <c r="A40">
        <v>16.388000000000002</v>
      </c>
      <c r="B40">
        <v>-89.2</v>
      </c>
      <c r="C40">
        <f t="shared" si="0"/>
        <v>-15.350877192982413</v>
      </c>
    </row>
    <row r="41" spans="1:3" x14ac:dyDescent="0.3">
      <c r="A41">
        <v>16.866</v>
      </c>
      <c r="B41">
        <v>-96.1</v>
      </c>
      <c r="C41">
        <f t="shared" si="0"/>
        <v>-14.435146443514688</v>
      </c>
    </row>
    <row r="42" spans="1:3" x14ac:dyDescent="0.3">
      <c r="A42">
        <v>17.356000000000002</v>
      </c>
      <c r="B42">
        <v>-102.2</v>
      </c>
      <c r="C42">
        <f t="shared" si="0"/>
        <v>-12.448979591836702</v>
      </c>
    </row>
    <row r="43" spans="1:3" x14ac:dyDescent="0.3">
      <c r="A43">
        <v>17.878</v>
      </c>
      <c r="B43">
        <v>-108.2</v>
      </c>
      <c r="C43">
        <f t="shared" si="0"/>
        <v>-11.494252873563251</v>
      </c>
    </row>
    <row r="44" spans="1:3" x14ac:dyDescent="0.3">
      <c r="A44">
        <v>18.414000000000001</v>
      </c>
      <c r="B44">
        <v>-113.7</v>
      </c>
      <c r="C44">
        <f t="shared" si="0"/>
        <v>-10.261194029850721</v>
      </c>
    </row>
    <row r="45" spans="1:3" x14ac:dyDescent="0.3">
      <c r="A45">
        <v>18.972000000000001</v>
      </c>
      <c r="B45">
        <v>-118.8</v>
      </c>
      <c r="C45">
        <f t="shared" si="0"/>
        <v>-9.139784946236551</v>
      </c>
    </row>
    <row r="46" spans="1:3" x14ac:dyDescent="0.3">
      <c r="A46">
        <v>19.547999999999998</v>
      </c>
      <c r="B46">
        <v>-123.5</v>
      </c>
      <c r="C46">
        <f t="shared" si="0"/>
        <v>-8.1597222222222694</v>
      </c>
    </row>
    <row r="47" spans="1:3" x14ac:dyDescent="0.3">
      <c r="A47">
        <v>20.143999999999998</v>
      </c>
      <c r="B47">
        <v>-127.3</v>
      </c>
      <c r="C47">
        <f t="shared" si="0"/>
        <v>-6.3758389261744908</v>
      </c>
    </row>
    <row r="48" spans="1:3" x14ac:dyDescent="0.3">
      <c r="A48">
        <v>20.782</v>
      </c>
      <c r="B48">
        <v>-131.69999999999999</v>
      </c>
      <c r="C48">
        <f t="shared" si="0"/>
        <v>-6.8965517241378995</v>
      </c>
    </row>
    <row r="49" spans="1:3" x14ac:dyDescent="0.3">
      <c r="A49">
        <v>21.405999999999999</v>
      </c>
      <c r="B49">
        <v>-136.1</v>
      </c>
      <c r="C49">
        <f t="shared" si="0"/>
        <v>-7.0512820512820742</v>
      </c>
    </row>
    <row r="50" spans="1:3" x14ac:dyDescent="0.3">
      <c r="A50">
        <v>22.03</v>
      </c>
      <c r="B50">
        <v>-139.9</v>
      </c>
      <c r="C50">
        <f t="shared" si="0"/>
        <v>-6.089743589743585</v>
      </c>
    </row>
    <row r="51" spans="1:3" x14ac:dyDescent="0.3">
      <c r="A51">
        <v>22.672000000000001</v>
      </c>
      <c r="B51">
        <v>-143.80000000000001</v>
      </c>
      <c r="C51">
        <f t="shared" si="0"/>
        <v>-6.0747663551402011</v>
      </c>
    </row>
    <row r="52" spans="1:3" x14ac:dyDescent="0.3">
      <c r="A52">
        <v>23.314</v>
      </c>
      <c r="B52">
        <v>-147.30000000000001</v>
      </c>
      <c r="C52">
        <f t="shared" si="0"/>
        <v>-5.4517133956386337</v>
      </c>
    </row>
    <row r="53" spans="1:3" x14ac:dyDescent="0.3">
      <c r="A53">
        <v>23.972000000000001</v>
      </c>
      <c r="B53">
        <v>-150.5</v>
      </c>
      <c r="C53">
        <f t="shared" si="0"/>
        <v>-4.8632218844984534</v>
      </c>
    </row>
    <row r="54" spans="1:3" x14ac:dyDescent="0.3">
      <c r="A54">
        <v>24.648</v>
      </c>
      <c r="B54">
        <v>-153.69999999999999</v>
      </c>
      <c r="C54">
        <f t="shared" si="0"/>
        <v>-4.7337278106508824</v>
      </c>
    </row>
    <row r="55" spans="1:3" x14ac:dyDescent="0.3">
      <c r="A55">
        <v>25.324000000000002</v>
      </c>
      <c r="B55">
        <v>-156.9</v>
      </c>
      <c r="C55">
        <f t="shared" si="0"/>
        <v>-4.7337278106508993</v>
      </c>
    </row>
    <row r="56" spans="1:3" x14ac:dyDescent="0.3">
      <c r="A56">
        <v>26</v>
      </c>
      <c r="B56">
        <v>-159.6</v>
      </c>
      <c r="C56">
        <f t="shared" si="0"/>
        <v>-3.994082840236679</v>
      </c>
    </row>
    <row r="57" spans="1:3" x14ac:dyDescent="0.3">
      <c r="A57">
        <v>26.698</v>
      </c>
      <c r="B57">
        <v>-162.6</v>
      </c>
      <c r="C57">
        <f t="shared" si="0"/>
        <v>-4.2979942693409718</v>
      </c>
    </row>
    <row r="58" spans="1:3" x14ac:dyDescent="0.3">
      <c r="A58">
        <v>27.385999999999999</v>
      </c>
      <c r="B58">
        <v>-165</v>
      </c>
      <c r="C58">
        <f t="shared" si="0"/>
        <v>-3.48837209302327</v>
      </c>
    </row>
    <row r="59" spans="1:3" x14ac:dyDescent="0.3">
      <c r="A59">
        <v>28.1</v>
      </c>
      <c r="B59">
        <v>-167.5</v>
      </c>
      <c r="C59">
        <f t="shared" si="0"/>
        <v>-3.501400560224079</v>
      </c>
    </row>
    <row r="60" spans="1:3" x14ac:dyDescent="0.3">
      <c r="A60">
        <v>28.81</v>
      </c>
      <c r="B60">
        <v>-169.9</v>
      </c>
      <c r="C60">
        <f t="shared" si="0"/>
        <v>-3.3802816901408659</v>
      </c>
    </row>
    <row r="61" spans="1:3" x14ac:dyDescent="0.3">
      <c r="A61">
        <v>29.527999999999999</v>
      </c>
      <c r="B61">
        <v>-172.2</v>
      </c>
      <c r="C61">
        <f t="shared" si="0"/>
        <v>-3.2033426183843776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F2CB0-AF24-44AD-99F8-24127FF00E1D}">
  <dimension ref="A1:J64"/>
  <sheetViews>
    <sheetView workbookViewId="0">
      <selection activeCell="C3" sqref="C3"/>
    </sheetView>
  </sheetViews>
  <sheetFormatPr defaultRowHeight="14.4" x14ac:dyDescent="0.3"/>
  <cols>
    <col min="9" max="9" width="18.21875" customWidth="1"/>
  </cols>
  <sheetData>
    <row r="1" spans="1:10" x14ac:dyDescent="0.3">
      <c r="A1" t="s">
        <v>0</v>
      </c>
      <c r="B1" t="s">
        <v>1</v>
      </c>
      <c r="C1">
        <f>MIN(C3:C64)</f>
        <v>-77.777777777777288</v>
      </c>
      <c r="G1">
        <v>0.115</v>
      </c>
      <c r="H1" t="s">
        <v>5</v>
      </c>
      <c r="I1" t="s">
        <v>18</v>
      </c>
      <c r="J1" t="s">
        <v>19</v>
      </c>
    </row>
    <row r="2" spans="1:10" x14ac:dyDescent="0.3">
      <c r="A2">
        <v>0</v>
      </c>
      <c r="B2">
        <v>158.69999999999999</v>
      </c>
      <c r="G2">
        <v>8.7274919375615167E-3</v>
      </c>
      <c r="H2" t="s">
        <v>11</v>
      </c>
      <c r="I2" t="s">
        <v>12</v>
      </c>
    </row>
    <row r="3" spans="1:10" x14ac:dyDescent="0.3">
      <c r="A3">
        <v>4.0000000000000001E-3</v>
      </c>
      <c r="B3">
        <v>158.80000000000001</v>
      </c>
      <c r="C3">
        <f>(B3-B2)/(A3-A2)</f>
        <v>25.000000000005684</v>
      </c>
    </row>
    <row r="4" spans="1:10" x14ac:dyDescent="0.3">
      <c r="A4">
        <v>8.0000000000000002E-3</v>
      </c>
      <c r="B4">
        <v>159.1</v>
      </c>
      <c r="C4">
        <f t="shared" ref="C4:C64" si="0">(B4-B3)/(A4-A3)</f>
        <v>74.999999999995737</v>
      </c>
    </row>
    <row r="5" spans="1:10" x14ac:dyDescent="0.3">
      <c r="A5">
        <v>1.2E-2</v>
      </c>
      <c r="B5">
        <v>159.4</v>
      </c>
      <c r="C5">
        <f t="shared" si="0"/>
        <v>75.000000000002842</v>
      </c>
    </row>
    <row r="6" spans="1:10" x14ac:dyDescent="0.3">
      <c r="A6">
        <v>0.16400000000000001</v>
      </c>
      <c r="B6">
        <v>153.69999999999999</v>
      </c>
      <c r="C6">
        <f t="shared" si="0"/>
        <v>-37.500000000000114</v>
      </c>
    </row>
    <row r="7" spans="1:10" x14ac:dyDescent="0.3">
      <c r="A7">
        <v>0.2</v>
      </c>
      <c r="B7">
        <v>150.9</v>
      </c>
      <c r="C7">
        <f t="shared" si="0"/>
        <v>-77.777777777777288</v>
      </c>
      <c r="F7" t="s">
        <v>0</v>
      </c>
      <c r="G7" t="s">
        <v>1</v>
      </c>
      <c r="H7" t="s">
        <v>13</v>
      </c>
    </row>
    <row r="8" spans="1:10" x14ac:dyDescent="0.3">
      <c r="A8">
        <v>0.376</v>
      </c>
      <c r="B8">
        <v>141.19999999999999</v>
      </c>
      <c r="C8">
        <f t="shared" si="0"/>
        <v>-55.113636363636466</v>
      </c>
      <c r="F8">
        <f>AVERAGE(A36:A37)</f>
        <v>14.391999999999999</v>
      </c>
      <c r="G8">
        <f>AVERAGE(B36:B37)</f>
        <v>-49.349999999999994</v>
      </c>
      <c r="H8">
        <f>F8*G2*56.11/G1</f>
        <v>61.284836948676272</v>
      </c>
    </row>
    <row r="9" spans="1:10" x14ac:dyDescent="0.3">
      <c r="A9">
        <v>0.60799999999999998</v>
      </c>
      <c r="B9">
        <v>131.5</v>
      </c>
      <c r="C9">
        <f t="shared" si="0"/>
        <v>-41.810344827586164</v>
      </c>
    </row>
    <row r="10" spans="1:10" x14ac:dyDescent="0.3">
      <c r="A10">
        <v>0.88600000000000001</v>
      </c>
      <c r="B10">
        <v>122.2</v>
      </c>
      <c r="C10">
        <f t="shared" si="0"/>
        <v>-33.453237410071928</v>
      </c>
    </row>
    <row r="11" spans="1:10" x14ac:dyDescent="0.3">
      <c r="A11">
        <v>1.204</v>
      </c>
      <c r="B11">
        <v>113.11</v>
      </c>
      <c r="C11">
        <f t="shared" si="0"/>
        <v>-28.584905660377373</v>
      </c>
    </row>
    <row r="12" spans="1:10" x14ac:dyDescent="0.3">
      <c r="A12">
        <v>1.5580000000000001</v>
      </c>
      <c r="B12">
        <v>104.7</v>
      </c>
      <c r="C12">
        <f t="shared" si="0"/>
        <v>-23.75706214689264</v>
      </c>
    </row>
    <row r="13" spans="1:10" x14ac:dyDescent="0.3">
      <c r="A13">
        <v>1.946</v>
      </c>
      <c r="B13">
        <v>96.4</v>
      </c>
      <c r="C13">
        <f t="shared" si="0"/>
        <v>-21.391752577319586</v>
      </c>
    </row>
    <row r="14" spans="1:10" x14ac:dyDescent="0.3">
      <c r="A14">
        <v>2.36</v>
      </c>
      <c r="B14">
        <v>88.8</v>
      </c>
      <c r="C14">
        <f t="shared" si="0"/>
        <v>-18.357487922705339</v>
      </c>
    </row>
    <row r="15" spans="1:10" x14ac:dyDescent="0.3">
      <c r="A15">
        <v>2.8</v>
      </c>
      <c r="B15">
        <v>81.099999999999994</v>
      </c>
      <c r="C15">
        <f t="shared" si="0"/>
        <v>-17.500000000000007</v>
      </c>
    </row>
    <row r="16" spans="1:10" x14ac:dyDescent="0.3">
      <c r="A16">
        <v>3.2519999999999998</v>
      </c>
      <c r="B16">
        <v>74.7</v>
      </c>
      <c r="C16">
        <f t="shared" si="0"/>
        <v>-14.159292035398213</v>
      </c>
    </row>
    <row r="17" spans="1:3" x14ac:dyDescent="0.3">
      <c r="A17">
        <v>3.7480000000000002</v>
      </c>
      <c r="B17">
        <v>68.900000000000006</v>
      </c>
      <c r="C17">
        <f t="shared" si="0"/>
        <v>-11.693548387096758</v>
      </c>
    </row>
    <row r="18" spans="1:3" x14ac:dyDescent="0.3">
      <c r="A18">
        <v>4.28</v>
      </c>
      <c r="B18">
        <v>63.2</v>
      </c>
      <c r="C18">
        <f t="shared" si="0"/>
        <v>-10.714285714285719</v>
      </c>
    </row>
    <row r="19" spans="1:3" x14ac:dyDescent="0.3">
      <c r="A19">
        <v>4.8280000000000003</v>
      </c>
      <c r="B19">
        <v>57.8</v>
      </c>
      <c r="C19">
        <f t="shared" si="0"/>
        <v>-9.8540145985401555</v>
      </c>
    </row>
    <row r="20" spans="1:3" x14ac:dyDescent="0.3">
      <c r="A20">
        <v>5.3940000000000001</v>
      </c>
      <c r="B20">
        <v>52.6</v>
      </c>
      <c r="C20">
        <f t="shared" si="0"/>
        <v>-9.1872791519434589</v>
      </c>
    </row>
    <row r="21" spans="1:3" x14ac:dyDescent="0.3">
      <c r="A21">
        <v>5.9720000000000004</v>
      </c>
      <c r="B21">
        <v>47.7</v>
      </c>
      <c r="C21">
        <f t="shared" si="0"/>
        <v>-8.4775086505190238</v>
      </c>
    </row>
    <row r="22" spans="1:3" x14ac:dyDescent="0.3">
      <c r="A22">
        <v>6.56</v>
      </c>
      <c r="B22">
        <v>42.8</v>
      </c>
      <c r="C22">
        <f t="shared" si="0"/>
        <v>-8.3333333333333552</v>
      </c>
    </row>
    <row r="23" spans="1:3" x14ac:dyDescent="0.3">
      <c r="A23">
        <v>7.1559999999999997</v>
      </c>
      <c r="B23">
        <v>38</v>
      </c>
      <c r="C23">
        <f t="shared" si="0"/>
        <v>-8.0536912751677789</v>
      </c>
    </row>
    <row r="24" spans="1:3" x14ac:dyDescent="0.3">
      <c r="A24">
        <v>7.7539999999999996</v>
      </c>
      <c r="B24">
        <v>33.200000000000003</v>
      </c>
      <c r="C24">
        <f t="shared" si="0"/>
        <v>-8.0267558528428058</v>
      </c>
    </row>
    <row r="25" spans="1:3" x14ac:dyDescent="0.3">
      <c r="A25">
        <v>8.3559999999999999</v>
      </c>
      <c r="B25">
        <v>28.4</v>
      </c>
      <c r="C25">
        <f t="shared" si="0"/>
        <v>-7.9734219269103024</v>
      </c>
    </row>
    <row r="26" spans="1:3" x14ac:dyDescent="0.3">
      <c r="A26">
        <v>8.9580000000000002</v>
      </c>
      <c r="B26">
        <v>23.5</v>
      </c>
      <c r="C26">
        <f t="shared" si="0"/>
        <v>-8.1395348837209234</v>
      </c>
    </row>
    <row r="27" spans="1:3" x14ac:dyDescent="0.3">
      <c r="A27">
        <v>9.5540000000000003</v>
      </c>
      <c r="B27">
        <v>18.399999999999999</v>
      </c>
      <c r="C27">
        <f t="shared" si="0"/>
        <v>-8.5570469798657722</v>
      </c>
    </row>
    <row r="28" spans="1:3" x14ac:dyDescent="0.3">
      <c r="A28">
        <v>10.146000000000001</v>
      </c>
      <c r="B28">
        <v>13.2</v>
      </c>
      <c r="C28">
        <f t="shared" si="0"/>
        <v>-8.7837837837837753</v>
      </c>
    </row>
    <row r="29" spans="1:3" x14ac:dyDescent="0.3">
      <c r="A29">
        <v>10.728</v>
      </c>
      <c r="B29">
        <v>7.6</v>
      </c>
      <c r="C29">
        <f t="shared" si="0"/>
        <v>-9.6219931271477837</v>
      </c>
    </row>
    <row r="30" spans="1:3" x14ac:dyDescent="0.3">
      <c r="A30">
        <v>11.294</v>
      </c>
      <c r="B30">
        <v>1.7</v>
      </c>
      <c r="C30">
        <f t="shared" si="0"/>
        <v>-10.424028268551222</v>
      </c>
    </row>
    <row r="31" spans="1:3" x14ac:dyDescent="0.3">
      <c r="A31">
        <v>11.846</v>
      </c>
      <c r="B31">
        <v>-4.8</v>
      </c>
      <c r="C31">
        <f t="shared" si="0"/>
        <v>-11.775362318840589</v>
      </c>
    </row>
    <row r="32" spans="1:3" x14ac:dyDescent="0.3">
      <c r="A32">
        <v>12.37</v>
      </c>
      <c r="B32">
        <v>-11.8</v>
      </c>
      <c r="C32">
        <f t="shared" si="0"/>
        <v>-13.358778625954223</v>
      </c>
    </row>
    <row r="33" spans="1:3" x14ac:dyDescent="0.3">
      <c r="A33">
        <v>12.868</v>
      </c>
      <c r="B33">
        <v>-19.399999999999999</v>
      </c>
      <c r="C33">
        <f t="shared" si="0"/>
        <v>-15.26104417670679</v>
      </c>
    </row>
    <row r="34" spans="1:3" x14ac:dyDescent="0.3">
      <c r="A34">
        <v>13.334</v>
      </c>
      <c r="B34">
        <v>-27.5</v>
      </c>
      <c r="C34">
        <f t="shared" si="0"/>
        <v>-17.381974248927069</v>
      </c>
    </row>
    <row r="35" spans="1:3" x14ac:dyDescent="0.3">
      <c r="A35">
        <v>13.776</v>
      </c>
      <c r="B35">
        <v>-36.200000000000003</v>
      </c>
      <c r="C35">
        <f t="shared" si="0"/>
        <v>-19.683257918552034</v>
      </c>
    </row>
    <row r="36" spans="1:3" x14ac:dyDescent="0.3">
      <c r="A36">
        <v>14.188000000000001</v>
      </c>
      <c r="B36">
        <v>-44.9</v>
      </c>
      <c r="C36">
        <f t="shared" si="0"/>
        <v>-21.11650485436888</v>
      </c>
    </row>
    <row r="37" spans="1:3" x14ac:dyDescent="0.3">
      <c r="A37">
        <v>14.596</v>
      </c>
      <c r="B37">
        <v>-53.8</v>
      </c>
      <c r="C37">
        <f t="shared" si="0"/>
        <v>-21.813725490196102</v>
      </c>
    </row>
    <row r="38" spans="1:3" x14ac:dyDescent="0.3">
      <c r="A38">
        <v>15.004</v>
      </c>
      <c r="B38">
        <v>-62.2</v>
      </c>
      <c r="C38">
        <f t="shared" si="0"/>
        <v>-20.588235294117688</v>
      </c>
    </row>
    <row r="39" spans="1:3" x14ac:dyDescent="0.3">
      <c r="A39">
        <v>15.42</v>
      </c>
      <c r="B39">
        <v>-70</v>
      </c>
      <c r="C39">
        <f t="shared" si="0"/>
        <v>-18.749999999999975</v>
      </c>
    </row>
    <row r="40" spans="1:3" x14ac:dyDescent="0.3">
      <c r="A40">
        <v>15.856</v>
      </c>
      <c r="B40">
        <v>-77.900000000000006</v>
      </c>
      <c r="C40">
        <f t="shared" si="0"/>
        <v>-18.119266055045887</v>
      </c>
    </row>
    <row r="41" spans="1:3" x14ac:dyDescent="0.3">
      <c r="A41">
        <v>16.364000000000001</v>
      </c>
      <c r="B41">
        <v>-85</v>
      </c>
      <c r="C41">
        <f t="shared" si="0"/>
        <v>-13.97637795275587</v>
      </c>
    </row>
    <row r="42" spans="1:3" x14ac:dyDescent="0.3">
      <c r="A42">
        <v>16.776</v>
      </c>
      <c r="B42">
        <v>-92</v>
      </c>
      <c r="C42">
        <f t="shared" si="0"/>
        <v>-16.990291262135962</v>
      </c>
    </row>
    <row r="43" spans="1:3" x14ac:dyDescent="0.3">
      <c r="A43">
        <v>17.262</v>
      </c>
      <c r="B43">
        <v>-98.3</v>
      </c>
      <c r="C43">
        <f t="shared" si="0"/>
        <v>-12.962962962962939</v>
      </c>
    </row>
    <row r="44" spans="1:3" x14ac:dyDescent="0.3">
      <c r="A44">
        <v>17.774000000000001</v>
      </c>
      <c r="B44">
        <v>-104.4</v>
      </c>
      <c r="C44">
        <f t="shared" si="0"/>
        <v>-11.914062500000005</v>
      </c>
    </row>
    <row r="45" spans="1:3" x14ac:dyDescent="0.3">
      <c r="A45">
        <v>18.303999999999998</v>
      </c>
      <c r="B45">
        <v>-110</v>
      </c>
      <c r="C45">
        <f t="shared" si="0"/>
        <v>-10.566037735849093</v>
      </c>
    </row>
    <row r="46" spans="1:3" x14ac:dyDescent="0.3">
      <c r="A46">
        <v>18.853999999999999</v>
      </c>
      <c r="B46">
        <v>-115.3</v>
      </c>
      <c r="C46">
        <f t="shared" si="0"/>
        <v>-9.6363636363636189</v>
      </c>
    </row>
    <row r="47" spans="1:3" x14ac:dyDescent="0.3">
      <c r="A47">
        <v>19.422000000000001</v>
      </c>
      <c r="B47">
        <v>-120.2</v>
      </c>
      <c r="C47">
        <f t="shared" si="0"/>
        <v>-8.6267605633802713</v>
      </c>
    </row>
    <row r="48" spans="1:3" x14ac:dyDescent="0.3">
      <c r="A48">
        <v>20.010000000000002</v>
      </c>
      <c r="B48">
        <v>-124.5</v>
      </c>
      <c r="C48">
        <f t="shared" si="0"/>
        <v>-7.3129251700680102</v>
      </c>
    </row>
    <row r="49" spans="1:3" x14ac:dyDescent="0.3">
      <c r="A49">
        <v>20.623999999999999</v>
      </c>
      <c r="B49">
        <v>-128.6</v>
      </c>
      <c r="C49">
        <f t="shared" si="0"/>
        <v>-6.6775244299674474</v>
      </c>
    </row>
    <row r="50" spans="1:3" x14ac:dyDescent="0.3">
      <c r="A50">
        <v>21.256</v>
      </c>
      <c r="B50">
        <v>-133</v>
      </c>
      <c r="C50">
        <f t="shared" si="0"/>
        <v>-6.9620253164556889</v>
      </c>
    </row>
    <row r="51" spans="1:3" x14ac:dyDescent="0.3">
      <c r="A51">
        <v>21.876000000000001</v>
      </c>
      <c r="B51">
        <v>-137</v>
      </c>
      <c r="C51">
        <f t="shared" si="0"/>
        <v>-6.4516129032257963</v>
      </c>
    </row>
    <row r="52" spans="1:3" x14ac:dyDescent="0.3">
      <c r="A52">
        <v>22.512</v>
      </c>
      <c r="B52">
        <v>-140.80000000000001</v>
      </c>
      <c r="C52">
        <f t="shared" si="0"/>
        <v>-5.9748427672956224</v>
      </c>
    </row>
    <row r="53" spans="1:3" x14ac:dyDescent="0.3">
      <c r="A53">
        <v>23.158000000000001</v>
      </c>
      <c r="B53">
        <v>-144.30000000000001</v>
      </c>
      <c r="C53">
        <f t="shared" si="0"/>
        <v>-5.4179566563467425</v>
      </c>
    </row>
    <row r="54" spans="1:3" x14ac:dyDescent="0.3">
      <c r="A54">
        <v>23.818000000000001</v>
      </c>
      <c r="B54">
        <v>-147.4</v>
      </c>
      <c r="C54">
        <f t="shared" si="0"/>
        <v>-4.6969696969696875</v>
      </c>
    </row>
    <row r="55" spans="1:3" x14ac:dyDescent="0.3">
      <c r="A55">
        <v>24.498000000000001</v>
      </c>
      <c r="B55">
        <v>-150.69999999999999</v>
      </c>
      <c r="C55">
        <f t="shared" si="0"/>
        <v>-4.8529411764705648</v>
      </c>
    </row>
    <row r="56" spans="1:3" x14ac:dyDescent="0.3">
      <c r="A56">
        <v>25.17</v>
      </c>
      <c r="B56">
        <v>-153.69999999999999</v>
      </c>
      <c r="C56">
        <f t="shared" si="0"/>
        <v>-4.46428571428571</v>
      </c>
    </row>
    <row r="57" spans="1:3" x14ac:dyDescent="0.3">
      <c r="A57">
        <v>25.856000000000002</v>
      </c>
      <c r="B57">
        <v>-156.80000000000001</v>
      </c>
      <c r="C57">
        <f t="shared" si="0"/>
        <v>-4.5189504373178178</v>
      </c>
    </row>
    <row r="58" spans="1:3" x14ac:dyDescent="0.3">
      <c r="A58">
        <v>26.538</v>
      </c>
      <c r="B58">
        <v>-159.6</v>
      </c>
      <c r="C58">
        <f t="shared" si="0"/>
        <v>-4.1055718475073144</v>
      </c>
    </row>
    <row r="59" spans="1:3" x14ac:dyDescent="0.3">
      <c r="A59">
        <v>27.23</v>
      </c>
      <c r="B59">
        <v>-162.19999999999999</v>
      </c>
      <c r="C59">
        <f t="shared" si="0"/>
        <v>-3.7572254335260022</v>
      </c>
    </row>
    <row r="60" spans="1:3" x14ac:dyDescent="0.3">
      <c r="A60">
        <v>27.931999999999999</v>
      </c>
      <c r="B60">
        <v>-164.8</v>
      </c>
      <c r="C60">
        <f t="shared" si="0"/>
        <v>-3.7037037037037459</v>
      </c>
    </row>
    <row r="61" spans="1:3" x14ac:dyDescent="0.3">
      <c r="A61">
        <v>28.64</v>
      </c>
      <c r="B61">
        <v>-168</v>
      </c>
      <c r="C61">
        <f t="shared" si="0"/>
        <v>-4.5197740112994067</v>
      </c>
    </row>
    <row r="62" spans="1:3" x14ac:dyDescent="0.3">
      <c r="A62">
        <v>29.324000000000002</v>
      </c>
      <c r="B62">
        <v>-170</v>
      </c>
      <c r="C62">
        <f t="shared" si="0"/>
        <v>-2.9239766081871301</v>
      </c>
    </row>
    <row r="63" spans="1:3" x14ac:dyDescent="0.3">
      <c r="A63">
        <v>30.032</v>
      </c>
      <c r="B63">
        <v>-172.4</v>
      </c>
      <c r="C63">
        <f t="shared" si="0"/>
        <v>-3.3898305084745921</v>
      </c>
    </row>
    <row r="64" spans="1:3" x14ac:dyDescent="0.3">
      <c r="A64">
        <v>30.748000000000001</v>
      </c>
      <c r="B64">
        <v>-174.7</v>
      </c>
      <c r="C64">
        <f t="shared" si="0"/>
        <v>-3.2122905027932673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5D4AE-4AD4-4079-B38C-703C5AB47A78}">
  <dimension ref="A1:I47"/>
  <sheetViews>
    <sheetView workbookViewId="0">
      <selection activeCell="E2" sqref="E2:G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E1">
        <v>8.3799999999999999E-2</v>
      </c>
      <c r="F1" t="s">
        <v>5</v>
      </c>
      <c r="G1" t="s">
        <v>20</v>
      </c>
      <c r="I1" t="s">
        <v>21</v>
      </c>
    </row>
    <row r="2" spans="1:9" x14ac:dyDescent="0.3">
      <c r="A2">
        <v>0</v>
      </c>
      <c r="B2">
        <v>154.30000000000001</v>
      </c>
      <c r="E2">
        <v>8.7274919375615167E-3</v>
      </c>
      <c r="F2" t="s">
        <v>11</v>
      </c>
      <c r="G2" t="s">
        <v>12</v>
      </c>
    </row>
    <row r="3" spans="1:9" x14ac:dyDescent="0.3">
      <c r="A3">
        <v>0.73</v>
      </c>
      <c r="B3">
        <v>112.2</v>
      </c>
      <c r="C3">
        <f>(B3-B2)/(A3-A2)</f>
        <v>-57.671232876712345</v>
      </c>
    </row>
    <row r="4" spans="1:9" x14ac:dyDescent="0.3">
      <c r="A4">
        <v>0.94199999999999995</v>
      </c>
      <c r="B4">
        <v>103.8</v>
      </c>
      <c r="C4">
        <f t="shared" ref="C4:C47" si="0">(B4-B3)/(A4-A3)</f>
        <v>-39.622641509433997</v>
      </c>
    </row>
    <row r="5" spans="1:9" x14ac:dyDescent="0.3">
      <c r="A5">
        <v>1.036</v>
      </c>
      <c r="B5">
        <v>100.9</v>
      </c>
      <c r="C5">
        <f t="shared" si="0"/>
        <v>-30.851063829787115</v>
      </c>
    </row>
    <row r="6" spans="1:9" x14ac:dyDescent="0.3">
      <c r="A6">
        <v>1.276</v>
      </c>
      <c r="B6">
        <v>94.3</v>
      </c>
      <c r="C6">
        <f t="shared" si="0"/>
        <v>-27.500000000000036</v>
      </c>
      <c r="E6" t="s">
        <v>0</v>
      </c>
      <c r="F6" t="s">
        <v>1</v>
      </c>
      <c r="G6" t="s">
        <v>13</v>
      </c>
    </row>
    <row r="7" spans="1:9" x14ac:dyDescent="0.3">
      <c r="A7">
        <v>1.6339999999999999</v>
      </c>
      <c r="B7">
        <v>85.8</v>
      </c>
      <c r="C7">
        <f t="shared" si="0"/>
        <v>-23.743016759776545</v>
      </c>
      <c r="E7">
        <f>AVERAGE(A27:A28)</f>
        <v>11.728999999999999</v>
      </c>
      <c r="F7">
        <f>AVERAGE(B27:B28)</f>
        <v>-56.25</v>
      </c>
      <c r="G7">
        <f>E7*E2*56.11/E1</f>
        <v>68.540409155367868</v>
      </c>
    </row>
    <row r="8" spans="1:9" x14ac:dyDescent="0.3">
      <c r="A8">
        <v>2.024</v>
      </c>
      <c r="B8">
        <v>77.8</v>
      </c>
      <c r="C8">
        <f t="shared" si="0"/>
        <v>-20.512820512820507</v>
      </c>
    </row>
    <row r="9" spans="1:9" x14ac:dyDescent="0.3">
      <c r="A9">
        <v>2.444</v>
      </c>
      <c r="B9">
        <v>70.900000000000006</v>
      </c>
      <c r="C9">
        <f t="shared" si="0"/>
        <v>-16.428571428571409</v>
      </c>
    </row>
    <row r="10" spans="1:9" x14ac:dyDescent="0.3">
      <c r="A10">
        <v>2.91</v>
      </c>
      <c r="B10">
        <v>64</v>
      </c>
      <c r="C10">
        <f t="shared" si="0"/>
        <v>-14.806866952789706</v>
      </c>
    </row>
    <row r="11" spans="1:9" x14ac:dyDescent="0.3">
      <c r="A11">
        <v>3.3940000000000001</v>
      </c>
      <c r="B11">
        <v>58.1</v>
      </c>
      <c r="C11">
        <f t="shared" si="0"/>
        <v>-12.190082644628097</v>
      </c>
    </row>
    <row r="12" spans="1:9" x14ac:dyDescent="0.3">
      <c r="A12">
        <v>3.9180000000000001</v>
      </c>
      <c r="B12">
        <v>52.1</v>
      </c>
      <c r="C12">
        <f t="shared" si="0"/>
        <v>-11.450381679389313</v>
      </c>
    </row>
    <row r="13" spans="1:9" x14ac:dyDescent="0.3">
      <c r="A13">
        <v>4.4560000000000004</v>
      </c>
      <c r="B13">
        <v>46.7</v>
      </c>
      <c r="C13">
        <f t="shared" si="0"/>
        <v>-10.037174721189583</v>
      </c>
    </row>
    <row r="14" spans="1:9" x14ac:dyDescent="0.3">
      <c r="A14">
        <v>5.0179999999999998</v>
      </c>
      <c r="B14">
        <v>41.7</v>
      </c>
      <c r="C14">
        <f t="shared" si="0"/>
        <v>-8.8967971530249201</v>
      </c>
    </row>
    <row r="15" spans="1:9" x14ac:dyDescent="0.3">
      <c r="A15">
        <v>5.5979999999999999</v>
      </c>
      <c r="B15">
        <v>36</v>
      </c>
      <c r="C15">
        <f t="shared" si="0"/>
        <v>-9.8275862068965552</v>
      </c>
    </row>
    <row r="16" spans="1:9" x14ac:dyDescent="0.3">
      <c r="A16">
        <v>6.1619999999999999</v>
      </c>
      <c r="B16">
        <v>30.7</v>
      </c>
      <c r="C16">
        <f t="shared" si="0"/>
        <v>-9.3971631205673756</v>
      </c>
    </row>
    <row r="17" spans="1:3" x14ac:dyDescent="0.3">
      <c r="A17">
        <v>6.7359999999999998</v>
      </c>
      <c r="B17">
        <v>25.5</v>
      </c>
      <c r="C17">
        <f t="shared" si="0"/>
        <v>-9.0592334494773539</v>
      </c>
    </row>
    <row r="18" spans="1:3" x14ac:dyDescent="0.3">
      <c r="A18">
        <v>7.3179999999999996</v>
      </c>
      <c r="B18">
        <v>19.899999999999999</v>
      </c>
      <c r="C18">
        <f t="shared" si="0"/>
        <v>-9.6219931271477712</v>
      </c>
    </row>
    <row r="19" spans="1:3" x14ac:dyDescent="0.3">
      <c r="A19">
        <v>7.8819999999999997</v>
      </c>
      <c r="B19">
        <v>13.7</v>
      </c>
      <c r="C19">
        <f t="shared" si="0"/>
        <v>-10.992907801418438</v>
      </c>
    </row>
    <row r="20" spans="1:3" x14ac:dyDescent="0.3">
      <c r="A20">
        <v>8.4239999999999995</v>
      </c>
      <c r="B20">
        <v>7.9</v>
      </c>
      <c r="C20">
        <f t="shared" si="0"/>
        <v>-10.701107011070112</v>
      </c>
    </row>
    <row r="21" spans="1:3" x14ac:dyDescent="0.3">
      <c r="A21">
        <v>8.9740000000000002</v>
      </c>
      <c r="B21">
        <v>0.9</v>
      </c>
      <c r="C21">
        <f t="shared" si="0"/>
        <v>-12.727272727272711</v>
      </c>
    </row>
    <row r="22" spans="1:3" x14ac:dyDescent="0.3">
      <c r="A22">
        <v>9.4740000000000002</v>
      </c>
      <c r="B22">
        <v>-6</v>
      </c>
      <c r="C22">
        <f t="shared" si="0"/>
        <v>-13.8</v>
      </c>
    </row>
    <row r="23" spans="1:3" x14ac:dyDescent="0.3">
      <c r="A23">
        <v>9.968</v>
      </c>
      <c r="B23">
        <v>-14.3</v>
      </c>
      <c r="C23">
        <f t="shared" si="0"/>
        <v>-16.80161943319839</v>
      </c>
    </row>
    <row r="24" spans="1:3" x14ac:dyDescent="0.3">
      <c r="A24">
        <v>10.406000000000001</v>
      </c>
      <c r="B24">
        <v>-22.3</v>
      </c>
      <c r="C24">
        <f t="shared" si="0"/>
        <v>-18.264840182648378</v>
      </c>
    </row>
    <row r="25" spans="1:3" x14ac:dyDescent="0.3">
      <c r="A25">
        <v>10.74</v>
      </c>
      <c r="B25">
        <v>-32.1</v>
      </c>
      <c r="C25">
        <f t="shared" si="0"/>
        <v>-29.341317365269497</v>
      </c>
    </row>
    <row r="26" spans="1:3" x14ac:dyDescent="0.3">
      <c r="A26">
        <v>11.2</v>
      </c>
      <c r="B26">
        <v>-41.4</v>
      </c>
      <c r="C26">
        <f t="shared" si="0"/>
        <v>-20.21739130434786</v>
      </c>
    </row>
    <row r="27" spans="1:3" x14ac:dyDescent="0.3">
      <c r="A27">
        <v>11.554</v>
      </c>
      <c r="B27">
        <v>-51.2</v>
      </c>
      <c r="C27">
        <f t="shared" si="0"/>
        <v>-27.683615819208974</v>
      </c>
    </row>
    <row r="28" spans="1:3" x14ac:dyDescent="0.3">
      <c r="A28">
        <v>11.904</v>
      </c>
      <c r="B28">
        <v>-61.3</v>
      </c>
      <c r="C28">
        <f t="shared" si="0"/>
        <v>-28.857142857142872</v>
      </c>
    </row>
    <row r="29" spans="1:3" x14ac:dyDescent="0.3">
      <c r="A29">
        <v>12.254</v>
      </c>
      <c r="B29">
        <v>-71.2</v>
      </c>
      <c r="C29">
        <f t="shared" si="0"/>
        <v>-28.285714285714331</v>
      </c>
    </row>
    <row r="30" spans="1:3" x14ac:dyDescent="0.3">
      <c r="A30">
        <v>12.608000000000001</v>
      </c>
      <c r="B30">
        <v>-80.099999999999994</v>
      </c>
      <c r="C30">
        <f t="shared" si="0"/>
        <v>-25.141242937853015</v>
      </c>
    </row>
    <row r="31" spans="1:3" x14ac:dyDescent="0.3">
      <c r="A31">
        <v>12.965999999999999</v>
      </c>
      <c r="B31">
        <v>-88</v>
      </c>
      <c r="C31">
        <f t="shared" si="0"/>
        <v>-22.067039106145344</v>
      </c>
    </row>
    <row r="32" spans="1:3" x14ac:dyDescent="0.3">
      <c r="A32">
        <v>13.37</v>
      </c>
      <c r="B32">
        <v>-96</v>
      </c>
      <c r="C32">
        <f t="shared" si="0"/>
        <v>-19.801980198019805</v>
      </c>
    </row>
    <row r="33" spans="1:3" x14ac:dyDescent="0.3">
      <c r="A33">
        <v>13.79</v>
      </c>
      <c r="B33">
        <v>-104</v>
      </c>
      <c r="C33">
        <f t="shared" si="0"/>
        <v>-19.047619047619051</v>
      </c>
    </row>
    <row r="34" spans="1:3" x14ac:dyDescent="0.3">
      <c r="A34">
        <v>14.231999999999999</v>
      </c>
      <c r="B34">
        <v>-110.8</v>
      </c>
      <c r="C34">
        <f t="shared" si="0"/>
        <v>-15.384615384615373</v>
      </c>
    </row>
    <row r="35" spans="1:3" x14ac:dyDescent="0.3">
      <c r="A35">
        <v>14.71</v>
      </c>
      <c r="B35">
        <v>-117.2</v>
      </c>
      <c r="C35">
        <f t="shared" si="0"/>
        <v>-13.389121338912103</v>
      </c>
    </row>
    <row r="36" spans="1:3" x14ac:dyDescent="0.3">
      <c r="A36">
        <v>15.215999999999999</v>
      </c>
      <c r="B36">
        <v>-123.3</v>
      </c>
      <c r="C36">
        <f t="shared" si="0"/>
        <v>-12.055335968379472</v>
      </c>
    </row>
    <row r="37" spans="1:3" x14ac:dyDescent="0.3">
      <c r="A37">
        <v>15.744</v>
      </c>
      <c r="B37">
        <v>-129.1</v>
      </c>
      <c r="C37">
        <f t="shared" si="0"/>
        <v>-10.98484848484847</v>
      </c>
    </row>
    <row r="38" spans="1:3" x14ac:dyDescent="0.3">
      <c r="A38">
        <v>16.288</v>
      </c>
      <c r="B38">
        <v>-134.4</v>
      </c>
      <c r="C38">
        <f t="shared" si="0"/>
        <v>-9.7426470588235414</v>
      </c>
    </row>
    <row r="39" spans="1:3" x14ac:dyDescent="0.3">
      <c r="A39">
        <v>16.853999999999999</v>
      </c>
      <c r="B39">
        <v>-139.30000000000001</v>
      </c>
      <c r="C39">
        <f t="shared" si="0"/>
        <v>-8.6572438162544429</v>
      </c>
    </row>
    <row r="40" spans="1:3" x14ac:dyDescent="0.3">
      <c r="A40">
        <v>17.440000000000001</v>
      </c>
      <c r="B40">
        <v>-144.1</v>
      </c>
      <c r="C40">
        <f t="shared" si="0"/>
        <v>-8.1911262798634237</v>
      </c>
    </row>
    <row r="41" spans="1:3" x14ac:dyDescent="0.3">
      <c r="A41">
        <v>18.036000000000001</v>
      </c>
      <c r="B41">
        <v>-148.5</v>
      </c>
      <c r="C41">
        <f t="shared" si="0"/>
        <v>-7.3825503355704782</v>
      </c>
    </row>
    <row r="42" spans="1:3" x14ac:dyDescent="0.3">
      <c r="A42">
        <v>18.652000000000001</v>
      </c>
      <c r="B42">
        <v>-152.4</v>
      </c>
      <c r="C42">
        <f t="shared" si="0"/>
        <v>-6.3311688311688439</v>
      </c>
    </row>
    <row r="43" spans="1:3" x14ac:dyDescent="0.3">
      <c r="A43">
        <v>19.920000000000002</v>
      </c>
      <c r="B43">
        <v>-160.19999999999999</v>
      </c>
      <c r="C43">
        <f t="shared" si="0"/>
        <v>-6.1514195583596045</v>
      </c>
    </row>
    <row r="44" spans="1:3" x14ac:dyDescent="0.3">
      <c r="A44">
        <v>21.263999999999999</v>
      </c>
      <c r="B44">
        <v>-167.2</v>
      </c>
      <c r="C44">
        <f t="shared" si="0"/>
        <v>-5.2083333333333428</v>
      </c>
    </row>
    <row r="45" spans="1:3" x14ac:dyDescent="0.3">
      <c r="A45">
        <v>22.57</v>
      </c>
      <c r="B45">
        <v>-173.9</v>
      </c>
      <c r="C45">
        <f t="shared" si="0"/>
        <v>-5.1301684532925051</v>
      </c>
    </row>
    <row r="46" spans="1:3" x14ac:dyDescent="0.3">
      <c r="A46">
        <v>23.922000000000001</v>
      </c>
      <c r="B46">
        <v>-179.7</v>
      </c>
      <c r="C46">
        <f t="shared" si="0"/>
        <v>-4.2899408284023535</v>
      </c>
    </row>
    <row r="47" spans="1:3" x14ac:dyDescent="0.3">
      <c r="A47">
        <v>26.678000000000001</v>
      </c>
      <c r="B47">
        <v>-191.5</v>
      </c>
      <c r="C47">
        <f t="shared" si="0"/>
        <v>-4.2815674891146625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C1A0-6E75-4FAA-BAB7-816E0B7E84FA}">
  <dimension ref="A1:I20"/>
  <sheetViews>
    <sheetView workbookViewId="0">
      <selection activeCell="O6" sqref="O6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E1">
        <v>8.8700000000000001E-2</v>
      </c>
      <c r="F1" t="s">
        <v>5</v>
      </c>
      <c r="G1" t="s">
        <v>22</v>
      </c>
      <c r="I1" t="s">
        <v>21</v>
      </c>
    </row>
    <row r="2" spans="1:9" x14ac:dyDescent="0.3">
      <c r="A2">
        <v>9.0939999999999994</v>
      </c>
      <c r="B2">
        <v>5.8</v>
      </c>
      <c r="E2">
        <v>8.7274919375615167E-3</v>
      </c>
      <c r="F2" t="s">
        <v>11</v>
      </c>
      <c r="G2" t="s">
        <v>12</v>
      </c>
    </row>
    <row r="3" spans="1:9" x14ac:dyDescent="0.3">
      <c r="A3">
        <v>9.6440000000000001</v>
      </c>
      <c r="B3">
        <v>-0.8</v>
      </c>
      <c r="C3">
        <f>(B3-B2)/(A3-A2)</f>
        <v>-11.999999999999984</v>
      </c>
    </row>
    <row r="4" spans="1:9" x14ac:dyDescent="0.3">
      <c r="A4">
        <v>10.167999999999999</v>
      </c>
      <c r="B4">
        <v>-7.7</v>
      </c>
      <c r="C4">
        <f t="shared" ref="C4:C20" si="0">(B4-B3)/(A4-A3)</f>
        <v>-13.167938931297732</v>
      </c>
      <c r="F4" t="s">
        <v>0</v>
      </c>
      <c r="G4" t="s">
        <v>1</v>
      </c>
      <c r="H4" t="s">
        <v>13</v>
      </c>
    </row>
    <row r="5" spans="1:9" x14ac:dyDescent="0.3">
      <c r="A5">
        <v>10.667999999999999</v>
      </c>
      <c r="B5">
        <v>-15.7</v>
      </c>
      <c r="C5">
        <f t="shared" si="0"/>
        <v>-15.999999999999998</v>
      </c>
      <c r="F5">
        <f>AVERAGE(A9:A10)</f>
        <v>12.446</v>
      </c>
      <c r="G5">
        <f>AVERAGE(B9:B10)</f>
        <v>-57.3</v>
      </c>
      <c r="H5">
        <f>56.11*F5*E2/E1</f>
        <v>68.712524022389104</v>
      </c>
    </row>
    <row r="6" spans="1:9" x14ac:dyDescent="0.3">
      <c r="A6">
        <v>11.116</v>
      </c>
      <c r="B6">
        <v>-24</v>
      </c>
      <c r="C6">
        <f t="shared" si="0"/>
        <v>-18.526785714285701</v>
      </c>
    </row>
    <row r="7" spans="1:9" x14ac:dyDescent="0.3">
      <c r="A7">
        <v>11.536</v>
      </c>
      <c r="B7">
        <v>-33.1</v>
      </c>
      <c r="C7">
        <f t="shared" si="0"/>
        <v>-21.666666666666675</v>
      </c>
    </row>
    <row r="8" spans="1:9" x14ac:dyDescent="0.3">
      <c r="A8">
        <v>11.923999999999999</v>
      </c>
      <c r="B8">
        <v>-42.9</v>
      </c>
      <c r="C8">
        <f t="shared" si="0"/>
        <v>-25.257731958762886</v>
      </c>
    </row>
    <row r="9" spans="1:9" x14ac:dyDescent="0.3">
      <c r="A9">
        <v>12.272</v>
      </c>
      <c r="B9">
        <v>-52.6</v>
      </c>
      <c r="C9">
        <f t="shared" si="0"/>
        <v>-27.873563218390753</v>
      </c>
    </row>
    <row r="10" spans="1:9" x14ac:dyDescent="0.3">
      <c r="A10">
        <v>12.62</v>
      </c>
      <c r="B10">
        <v>-62</v>
      </c>
      <c r="C10" s="1">
        <f t="shared" si="0"/>
        <v>-27.011494252873639</v>
      </c>
    </row>
    <row r="11" spans="1:9" x14ac:dyDescent="0.3">
      <c r="A11">
        <v>12.981999999999999</v>
      </c>
      <c r="B11">
        <v>-71.3</v>
      </c>
      <c r="C11">
        <f t="shared" si="0"/>
        <v>-25.690607734806616</v>
      </c>
    </row>
    <row r="12" spans="1:9" x14ac:dyDescent="0.3">
      <c r="A12">
        <v>13.352</v>
      </c>
      <c r="B12">
        <v>-80.5</v>
      </c>
      <c r="C12">
        <f t="shared" si="0"/>
        <v>-24.864864864864806</v>
      </c>
    </row>
    <row r="13" spans="1:9" x14ac:dyDescent="0.3">
      <c r="A13">
        <v>13.731999999999999</v>
      </c>
      <c r="B13">
        <v>-88.6</v>
      </c>
      <c r="C13">
        <f t="shared" si="0"/>
        <v>-21.315789473684251</v>
      </c>
    </row>
    <row r="14" spans="1:9" x14ac:dyDescent="0.3">
      <c r="A14">
        <v>14.144</v>
      </c>
      <c r="B14">
        <v>-96.6</v>
      </c>
      <c r="C14">
        <f t="shared" si="0"/>
        <v>-19.417475728155303</v>
      </c>
    </row>
    <row r="15" spans="1:9" x14ac:dyDescent="0.3">
      <c r="A15">
        <v>14.574</v>
      </c>
      <c r="B15">
        <v>-104</v>
      </c>
      <c r="C15">
        <f t="shared" si="0"/>
        <v>-17.209302325581419</v>
      </c>
    </row>
    <row r="16" spans="1:9" x14ac:dyDescent="0.3">
      <c r="A16">
        <v>15.032</v>
      </c>
      <c r="B16">
        <v>-110.9</v>
      </c>
      <c r="C16">
        <f t="shared" si="0"/>
        <v>-15.065502183406119</v>
      </c>
    </row>
    <row r="17" spans="1:3" x14ac:dyDescent="0.3">
      <c r="A17">
        <v>15.512</v>
      </c>
      <c r="B17">
        <v>-117.2</v>
      </c>
      <c r="C17">
        <f t="shared" si="0"/>
        <v>-13.124999999999982</v>
      </c>
    </row>
    <row r="18" spans="1:3" x14ac:dyDescent="0.3">
      <c r="A18">
        <v>16.021999999999998</v>
      </c>
      <c r="B18">
        <v>-123.1</v>
      </c>
      <c r="C18">
        <f t="shared" si="0"/>
        <v>-11.56862745098042</v>
      </c>
    </row>
    <row r="19" spans="1:3" x14ac:dyDescent="0.3">
      <c r="A19">
        <v>16.558</v>
      </c>
      <c r="B19">
        <v>-128.4</v>
      </c>
      <c r="C19">
        <f t="shared" si="0"/>
        <v>-9.8880597014925335</v>
      </c>
    </row>
    <row r="20" spans="1:3" x14ac:dyDescent="0.3">
      <c r="A20">
        <v>17.122</v>
      </c>
      <c r="B20">
        <v>-133.69999999999999</v>
      </c>
      <c r="C20">
        <f t="shared" si="0"/>
        <v>-9.3971631205673454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Blank</vt:lpstr>
      <vt:lpstr>Calibration 1</vt:lpstr>
      <vt:lpstr>Blank 2</vt:lpstr>
      <vt:lpstr>MFO 2 1st Run</vt:lpstr>
      <vt:lpstr>MFO 2 2nd Run</vt:lpstr>
      <vt:lpstr>Sample 18 </vt:lpstr>
      <vt:lpstr>Sample 18 Duplicate</vt:lpstr>
      <vt:lpstr>Sample 260720</vt:lpstr>
      <vt:lpstr>Sample 260720 Duplicate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Kong</dc:creator>
  <cp:lastModifiedBy>Yue Kong</cp:lastModifiedBy>
  <dcterms:created xsi:type="dcterms:W3CDTF">2026-09-14T02:53:33Z</dcterms:created>
  <dcterms:modified xsi:type="dcterms:W3CDTF">2026-09-20T17:07:33Z</dcterms:modified>
</cp:coreProperties>
</file>