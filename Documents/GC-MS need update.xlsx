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s\GitHub\Notes\Documents\"/>
    </mc:Choice>
  </mc:AlternateContent>
  <xr:revisionPtr revIDLastSave="0" documentId="13_ncr:1_{B021B2E4-2D2B-4652-842B-7C4E0F05D659}" xr6:coauthVersionLast="47" xr6:coauthVersionMax="47" xr10:uidLastSave="{00000000-0000-0000-0000-000000000000}"/>
  <bookViews>
    <workbookView xWindow="-108" yWindow="-108" windowWidth="23256" windowHeight="12456" activeTab="2" xr2:uid="{75DF3C9B-3C16-4B7B-A4CE-07DA4B9D5DC6}"/>
  </bookViews>
  <sheets>
    <sheet name="Sheet1" sheetId="1" r:id="rId1"/>
    <sheet name="Sheet2" sheetId="2" r:id="rId2"/>
    <sheet name="cyclohexan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3" l="1"/>
  <c r="C3" i="3"/>
  <c r="C6" i="3" s="1"/>
  <c r="C4" i="3"/>
  <c r="E4" i="3"/>
  <c r="G4" i="3" s="1"/>
  <c r="A6" i="3"/>
  <c r="B6" i="3"/>
  <c r="E2" i="2"/>
  <c r="H2" i="2" s="1"/>
  <c r="E1" i="2"/>
  <c r="H1" i="2" s="1"/>
  <c r="C7" i="3" l="1"/>
  <c r="C8" i="3" s="1"/>
  <c r="A7" i="3"/>
  <c r="A8" i="3" s="1"/>
  <c r="B7" i="3"/>
  <c r="B8" i="3" s="1"/>
</calcChain>
</file>

<file path=xl/sharedStrings.xml><?xml version="1.0" encoding="utf-8"?>
<sst xmlns="http://schemas.openxmlformats.org/spreadsheetml/2006/main" count="13" uniqueCount="11">
  <si>
    <t>water dosage</t>
  </si>
  <si>
    <t>relative area/mass</t>
  </si>
  <si>
    <t>x1</t>
  </si>
  <si>
    <t>x2</t>
  </si>
  <si>
    <t>x3</t>
  </si>
  <si>
    <t>Quantity</t>
  </si>
  <si>
    <t>aq</t>
  </si>
  <si>
    <t>org</t>
  </si>
  <si>
    <t>h2o</t>
  </si>
  <si>
    <t>etoh</t>
  </si>
  <si>
    <t>azeo composition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</si>
</sst>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Area/Mass plot of</a:t>
            </a:r>
            <a:r>
              <a:rPr lang="en-IE" baseline="0"/>
              <a:t> phenol in various stripped oils</a:t>
            </a:r>
            <a:endParaRPr lang="en-IE"/>
          </a:p>
        </c:rich>
      </c:tx>
      <c:layout>
        <c:manualLayout>
          <c:xMode val="edge"/>
          <c:yMode val="edge"/>
          <c:x val="0.17958333333333334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E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Sheet1!$A$2:$A$4</c:f>
              <c:numCache>
                <c:formatCode>0.00</c:formatCode>
                <c:ptCount val="3"/>
                <c:pt idx="0">
                  <c:v>0</c:v>
                </c:pt>
                <c:pt idx="1">
                  <c:v>30</c:v>
                </c:pt>
                <c:pt idx="2">
                  <c:v>40</c:v>
                </c:pt>
              </c:numCache>
            </c:numRef>
          </c:xVal>
          <c:yVal>
            <c:numRef>
              <c:f>Sheet1!$B$2:$B$4</c:f>
              <c:numCache>
                <c:formatCode>General</c:formatCode>
                <c:ptCount val="3"/>
                <c:pt idx="0">
                  <c:v>18000000</c:v>
                </c:pt>
                <c:pt idx="1">
                  <c:v>13005044</c:v>
                </c:pt>
                <c:pt idx="2">
                  <c:v>12400564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915-436E-8194-99D1BA007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266831"/>
        <c:axId val="11513454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yVal>
                  <c:numRef>
                    <c:extLst>
                      <c:ext uri="{02D57815-91ED-43cb-92C2-25804820EDAC}">
                        <c15:formulaRef>
                          <c15:sqref>Sheet1!$A$2:$A$4</c15:sqref>
                        </c15:formulaRef>
                      </c:ext>
                    </c:extLst>
                    <c:numCache>
                      <c:formatCode>0.00</c:formatCode>
                      <c:ptCount val="3"/>
                      <c:pt idx="0">
                        <c:v>0</c:v>
                      </c:pt>
                      <c:pt idx="1">
                        <c:v>30</c:v>
                      </c:pt>
                      <c:pt idx="2">
                        <c:v>40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A915-436E-8194-99D1BA007C1A}"/>
                  </c:ext>
                </c:extLst>
              </c15:ser>
            </c15:filteredScatterSeries>
          </c:ext>
        </c:extLst>
      </c:scatterChart>
      <c:valAx>
        <c:axId val="872668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Water dosage</a:t>
                </a:r>
                <a:r>
                  <a:rPr lang="en-IE" baseline="0"/>
                  <a:t> (wt% wrt oil)</a:t>
                </a:r>
                <a:endParaRPr lang="en-I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E"/>
            </a:p>
          </c:txPr>
        </c:title>
        <c:numFmt formatCode="0.00" sourceLinked="1"/>
        <c:majorTickMark val="out"/>
        <c:minorTickMark val="out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34543"/>
        <c:crosses val="autoZero"/>
        <c:crossBetween val="midCat"/>
        <c:minorUnit val="2.5"/>
      </c:valAx>
      <c:valAx>
        <c:axId val="1151345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Relative Area</a:t>
                </a:r>
                <a:r>
                  <a:rPr lang="en-IE" baseline="0"/>
                  <a:t> / mg oil (1/mg oil)</a:t>
                </a:r>
                <a:endParaRPr lang="en-I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66831"/>
        <c:crosses val="autoZero"/>
        <c:crossBetween val="midCat"/>
        <c:minorUnit val="25"/>
        <c:dispUnits>
          <c:builtInUnit val="millions"/>
        </c:dispUnits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6</xdr:row>
      <xdr:rowOff>41910</xdr:rowOff>
    </xdr:from>
    <xdr:to>
      <xdr:col>13</xdr:col>
      <xdr:colOff>137160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337038-3299-8766-5F12-BBCB750077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9EB8A-725A-4B59-B9DA-E2FAB9006729}">
  <dimension ref="A1:B4"/>
  <sheetViews>
    <sheetView workbookViewId="0">
      <selection activeCell="F4" sqref="F4"/>
    </sheetView>
  </sheetViews>
  <sheetFormatPr defaultRowHeight="14.4" x14ac:dyDescent="0.3"/>
  <cols>
    <col min="1" max="1" width="14.77734375" customWidth="1"/>
    <col min="2" max="2" width="22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0</v>
      </c>
      <c r="B2">
        <v>18000000</v>
      </c>
    </row>
    <row r="3" spans="1:2" x14ac:dyDescent="0.3">
      <c r="A3" s="1">
        <v>30</v>
      </c>
      <c r="B3">
        <v>13005044</v>
      </c>
    </row>
    <row r="4" spans="1:2" x14ac:dyDescent="0.3">
      <c r="A4" s="1">
        <v>40</v>
      </c>
      <c r="B4">
        <v>12400564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E2994-1922-40B8-9521-3A34C5A61599}">
  <dimension ref="A1:H2"/>
  <sheetViews>
    <sheetView workbookViewId="0">
      <selection activeCell="H2" sqref="H2"/>
    </sheetView>
  </sheetViews>
  <sheetFormatPr defaultRowHeight="14.4" x14ac:dyDescent="0.3"/>
  <sheetData>
    <row r="1" spans="1:8" x14ac:dyDescent="0.3">
      <c r="A1">
        <v>1.88</v>
      </c>
      <c r="B1">
        <v>77.650000000000006</v>
      </c>
      <c r="D1">
        <v>0.9918173419559192</v>
      </c>
      <c r="E1">
        <f>1-D1</f>
        <v>8.1826580440808039E-3</v>
      </c>
      <c r="H1">
        <f>A1*D1+B1*E1</f>
        <v>2.5000000000000027</v>
      </c>
    </row>
    <row r="2" spans="1:8" x14ac:dyDescent="0.3">
      <c r="A2">
        <v>1.88</v>
      </c>
      <c r="B2">
        <v>61.3</v>
      </c>
      <c r="D2">
        <v>0.98956580276001349</v>
      </c>
      <c r="E2">
        <f>1-D2</f>
        <v>1.0434197239986509E-2</v>
      </c>
      <c r="H2">
        <f>A2*D2+B2*E2</f>
        <v>2.4999999999999982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36B13-6C42-4CFB-8752-922DAB4B9D74}">
  <dimension ref="A1:U20"/>
  <sheetViews>
    <sheetView tabSelected="1" workbookViewId="0">
      <selection activeCell="H4" sqref="H4"/>
    </sheetView>
  </sheetViews>
  <sheetFormatPr defaultRowHeight="14.4" x14ac:dyDescent="0.3"/>
  <cols>
    <col min="11" max="18" width="6" bestFit="1" customWidth="1"/>
  </cols>
  <sheetData>
    <row r="1" spans="1:21" x14ac:dyDescent="0.3">
      <c r="A1" t="s">
        <v>2</v>
      </c>
      <c r="B1" t="s">
        <v>3</v>
      </c>
      <c r="C1" t="s">
        <v>4</v>
      </c>
      <c r="E1" t="s">
        <v>5</v>
      </c>
      <c r="P1" t="s">
        <v>8</v>
      </c>
      <c r="Q1" t="s">
        <v>9</v>
      </c>
    </row>
    <row r="2" spans="1:21" x14ac:dyDescent="0.3">
      <c r="A2">
        <v>7.0000000000000007E-2</v>
      </c>
      <c r="B2">
        <v>0.17</v>
      </c>
      <c r="C2">
        <v>0.76</v>
      </c>
      <c r="E2">
        <v>1</v>
      </c>
      <c r="F2" t="s">
        <v>10</v>
      </c>
      <c r="K2" t="s">
        <v>6</v>
      </c>
      <c r="P2" t="s">
        <v>7</v>
      </c>
    </row>
    <row r="3" spans="1:21" x14ac:dyDescent="0.3">
      <c r="A3">
        <v>0.32300000000000001</v>
      </c>
      <c r="B3">
        <v>0.59799999999999998</v>
      </c>
      <c r="C3">
        <f>1-B3-A3</f>
        <v>7.9000000000000015E-2</v>
      </c>
      <c r="E3">
        <v>0.1891025641025641</v>
      </c>
      <c r="F3" t="s">
        <v>6</v>
      </c>
      <c r="G3">
        <f>E3*L13</f>
        <v>0.11308333333333333</v>
      </c>
      <c r="K3">
        <v>1</v>
      </c>
      <c r="L3">
        <v>0</v>
      </c>
      <c r="P3">
        <v>0</v>
      </c>
      <c r="Q3">
        <v>0</v>
      </c>
    </row>
    <row r="4" spans="1:21" x14ac:dyDescent="0.3">
      <c r="A4">
        <v>1.0999999999999999E-2</v>
      </c>
      <c r="B4">
        <v>9.0999999999999998E-2</v>
      </c>
      <c r="C4">
        <f>1-B4-A4</f>
        <v>0.89800000000000002</v>
      </c>
      <c r="E4">
        <f>1-E3</f>
        <v>0.8108974358974359</v>
      </c>
      <c r="F4" t="s">
        <v>7</v>
      </c>
      <c r="G4">
        <f>E4*Q13</f>
        <v>7.3791666666666672E-2</v>
      </c>
      <c r="K4">
        <v>0.93600000000000005</v>
      </c>
      <c r="L4">
        <v>6.4000000000000001E-2</v>
      </c>
      <c r="P4">
        <v>1.0999999999999999E-2</v>
      </c>
      <c r="Q4">
        <v>2E-3</v>
      </c>
    </row>
    <row r="5" spans="1:21" x14ac:dyDescent="0.3">
      <c r="K5">
        <v>0.875</v>
      </c>
      <c r="L5">
        <v>0.125</v>
      </c>
      <c r="P5">
        <v>8.9999999999999993E-3</v>
      </c>
      <c r="Q5">
        <v>7.0000000000000001E-3</v>
      </c>
    </row>
    <row r="6" spans="1:21" x14ac:dyDescent="0.3">
      <c r="A6">
        <f>A3*$E$3</f>
        <v>6.1080128205128204E-2</v>
      </c>
      <c r="B6">
        <f t="shared" ref="B6:C6" si="0">B3*$E$3</f>
        <v>0.11308333333333333</v>
      </c>
      <c r="C6">
        <f t="shared" si="0"/>
        <v>1.4939102564102566E-2</v>
      </c>
      <c r="K6">
        <v>0.83599999999999997</v>
      </c>
      <c r="L6">
        <v>0.16400000000000001</v>
      </c>
      <c r="P6">
        <v>1.4E-2</v>
      </c>
      <c r="Q6">
        <v>1.0999999999999999E-2</v>
      </c>
    </row>
    <row r="7" spans="1:21" x14ac:dyDescent="0.3">
      <c r="A7">
        <f>A4*$E$4</f>
        <v>8.9198717948717945E-3</v>
      </c>
      <c r="B7">
        <f t="shared" ref="B7:C7" si="1">B4*$E$4</f>
        <v>7.3791666666666672E-2</v>
      </c>
      <c r="C7">
        <f t="shared" si="1"/>
        <v>0.72818589743589746</v>
      </c>
      <c r="K7">
        <v>0.77400000000000002</v>
      </c>
      <c r="L7">
        <v>0.22500000000000001</v>
      </c>
      <c r="P7">
        <v>8.0000000000000002E-3</v>
      </c>
      <c r="Q7">
        <v>1.7000000000000001E-2</v>
      </c>
    </row>
    <row r="8" spans="1:21" x14ac:dyDescent="0.3">
      <c r="A8">
        <f>SUM(A6:A7)</f>
        <v>6.9999999999999993E-2</v>
      </c>
      <c r="B8">
        <f t="shared" ref="B8:C8" si="2">SUM(B6:B7)</f>
        <v>0.18687500000000001</v>
      </c>
      <c r="C8">
        <f t="shared" si="2"/>
        <v>0.74312500000000004</v>
      </c>
      <c r="K8">
        <v>0.72299999999999998</v>
      </c>
      <c r="L8">
        <v>0.27400000000000002</v>
      </c>
      <c r="P8">
        <v>0.01</v>
      </c>
      <c r="Q8">
        <v>2.5999999999999999E-2</v>
      </c>
    </row>
    <row r="9" spans="1:21" x14ac:dyDescent="0.3">
      <c r="K9">
        <v>0.66300000000000003</v>
      </c>
      <c r="L9">
        <v>0.33200000000000002</v>
      </c>
      <c r="P9">
        <v>0.01</v>
      </c>
      <c r="Q9">
        <v>2.7E-2</v>
      </c>
    </row>
    <row r="10" spans="1:21" x14ac:dyDescent="0.3">
      <c r="K10">
        <v>0.56999999999999995</v>
      </c>
      <c r="L10">
        <v>0.41799999999999998</v>
      </c>
      <c r="P10">
        <v>8.9999999999999993E-3</v>
      </c>
      <c r="Q10">
        <v>3.7999999999999999E-2</v>
      </c>
    </row>
    <row r="11" spans="1:21" x14ac:dyDescent="0.3">
      <c r="K11">
        <v>0.48499999999999999</v>
      </c>
      <c r="L11">
        <v>0.48899999999999999</v>
      </c>
      <c r="P11">
        <v>5.0000000000000001E-3</v>
      </c>
      <c r="Q11">
        <v>5.0999999999999997E-2</v>
      </c>
      <c r="S11">
        <v>7.0490566037735847E-2</v>
      </c>
      <c r="T11">
        <v>0.11076014150943397</v>
      </c>
      <c r="U11">
        <v>0.81874929245283024</v>
      </c>
    </row>
    <row r="12" spans="1:21" x14ac:dyDescent="0.3">
      <c r="K12">
        <v>0.42899999999999999</v>
      </c>
      <c r="L12">
        <v>0.53100000000000003</v>
      </c>
      <c r="P12">
        <v>5.0000000000000001E-3</v>
      </c>
      <c r="Q12">
        <v>6.3E-2</v>
      </c>
      <c r="S12">
        <v>7.0000000000000007E-2</v>
      </c>
      <c r="T12">
        <v>0.13474528301886796</v>
      </c>
      <c r="U12">
        <v>0.79525471698113215</v>
      </c>
    </row>
    <row r="13" spans="1:21" x14ac:dyDescent="0.3">
      <c r="K13" s="2">
        <v>0.32300000000000001</v>
      </c>
      <c r="L13" s="2">
        <v>0.59799999999999998</v>
      </c>
      <c r="M13" s="2"/>
      <c r="N13" s="2"/>
      <c r="O13" s="2"/>
      <c r="P13" s="2">
        <v>1.0999999999999999E-2</v>
      </c>
      <c r="Q13" s="2">
        <v>9.0999999999999998E-2</v>
      </c>
      <c r="S13">
        <v>6.9999999999999993E-2</v>
      </c>
      <c r="T13">
        <v>0.18687500000000001</v>
      </c>
      <c r="U13">
        <v>0.74312500000000004</v>
      </c>
    </row>
    <row r="14" spans="1:21" x14ac:dyDescent="0.3">
      <c r="K14">
        <v>0.21</v>
      </c>
      <c r="L14">
        <v>0.625</v>
      </c>
      <c r="P14">
        <v>1.9E-2</v>
      </c>
      <c r="Q14">
        <v>0.157</v>
      </c>
    </row>
    <row r="15" spans="1:21" x14ac:dyDescent="0.3">
      <c r="K15">
        <v>0.17299999999999999</v>
      </c>
      <c r="L15">
        <v>0.622</v>
      </c>
      <c r="P15">
        <v>2.1999999999999999E-2</v>
      </c>
      <c r="Q15">
        <v>0.19500000000000001</v>
      </c>
    </row>
    <row r="16" spans="1:21" x14ac:dyDescent="0.3">
      <c r="K16">
        <v>0.161</v>
      </c>
      <c r="L16">
        <v>0.61299999999999999</v>
      </c>
      <c r="P16">
        <v>2.5000000000000001E-2</v>
      </c>
      <c r="Q16">
        <v>0.21099999999999999</v>
      </c>
    </row>
    <row r="17" spans="11:17" x14ac:dyDescent="0.3">
      <c r="K17">
        <v>0.15</v>
      </c>
      <c r="L17">
        <v>0.59099999999999997</v>
      </c>
      <c r="P17">
        <v>3.5000000000000003E-2</v>
      </c>
      <c r="Q17">
        <v>0.247</v>
      </c>
    </row>
    <row r="18" spans="11:17" x14ac:dyDescent="0.3">
      <c r="K18">
        <v>0.12</v>
      </c>
      <c r="L18">
        <v>0.56000000000000005</v>
      </c>
      <c r="P18">
        <v>3.7999999999999999E-2</v>
      </c>
      <c r="Q18">
        <v>0.29299999999999998</v>
      </c>
    </row>
    <row r="19" spans="11:17" x14ac:dyDescent="0.3">
      <c r="K19">
        <v>0.10299999999999999</v>
      </c>
      <c r="L19">
        <v>0.51800000000000002</v>
      </c>
      <c r="P19">
        <v>5.2999999999999999E-2</v>
      </c>
      <c r="Q19">
        <v>0.34599999999999997</v>
      </c>
    </row>
    <row r="20" spans="11:17" x14ac:dyDescent="0.3">
      <c r="K20">
        <v>9.4E-2</v>
      </c>
      <c r="L20">
        <v>0.503</v>
      </c>
      <c r="P20">
        <v>5.7000000000000002E-2</v>
      </c>
      <c r="Q20">
        <v>0.36199999999999999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cyclohexane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 Kong</dc:creator>
  <cp:lastModifiedBy>Yue Kong</cp:lastModifiedBy>
  <dcterms:created xsi:type="dcterms:W3CDTF">2026-09-20T17:07:37Z</dcterms:created>
  <dcterms:modified xsi:type="dcterms:W3CDTF">2026-09-22T00:53:33Z</dcterms:modified>
</cp:coreProperties>
</file>